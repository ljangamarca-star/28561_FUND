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cuments\ANGAMARCA L.A\ESPE\"/>
    </mc:Choice>
  </mc:AlternateContent>
  <xr:revisionPtr revIDLastSave="0" documentId="8_{DC4EB33A-32EC-4075-B4B1-34D486D211D6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<sst xmlns="http://schemas.openxmlformats.org/spreadsheetml/2006/main" count="120" uniqueCount="92">
  <si>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</si>
  <si>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</si>
  <si>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</si>
  <si>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</si>
  <si>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</si>
  <si>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</si>
  <si>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</si>
  <si>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</si>
  <si>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</si>
  <si>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</si>
  <si>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</si>
  <si>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</si>
  <si>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</si>
  <si>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</si>
  <si>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</si>
  <si>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</si>
  <si>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</si>
  <si>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</si>
  <si>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</si>
  <si>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</si>
  <si>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</si>
  <si>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</si>
  <si>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</si>
  <si>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</si>
  <si>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</si>
  <si>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</si>
  <si>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</si>
  <si>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</si>
  <si>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</si>
  <si>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</si>
  <si>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</si>
  <si>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</si>
  <si>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No existe una interfaz organizada</t>
  </si>
  <si>
    <t>Implementar un menú principal</t>
  </si>
  <si>
    <t>Facilitar el uso del sistema</t>
  </si>
  <si>
    <t>Alex Chuquimarca</t>
  </si>
  <si>
    <t>Jhosue Angamarca</t>
  </si>
  <si>
    <t>Navegar por todas las opciones del menú</t>
  </si>
  <si>
    <t>Menú sencillo e intuitivo</t>
  </si>
  <si>
    <t xml:space="preserve">Menú principal </t>
  </si>
  <si>
    <t>REQ002</t>
  </si>
  <si>
    <t xml:space="preserve">Resgistro de datos de los residentes de la vivienda </t>
  </si>
  <si>
    <t>Para brindar seguridad dentro de la vivienda.</t>
  </si>
  <si>
    <t>REQ003</t>
  </si>
  <si>
    <t>Daniel Iza</t>
  </si>
  <si>
    <t xml:space="preserve">Con el analisis de los datos ingresados previamente, se realiza una evaluacion de usuario registrado y no registrado.   </t>
  </si>
  <si>
    <t>REQ004</t>
  </si>
  <si>
    <t xml:space="preserve">Francisco Comina </t>
  </si>
  <si>
    <t>REQ005</t>
  </si>
  <si>
    <t>Mantener la información actualizada</t>
  </si>
  <si>
    <t>REQ006</t>
  </si>
  <si>
    <t>Los datos se pierden al cerrar el programa</t>
  </si>
  <si>
    <t>Guardar automáticamente la información</t>
  </si>
  <si>
    <t>Conservar los usuarios registrados entre ejecuciones</t>
  </si>
  <si>
    <t>Escribir y leer la información desde el archivo usuarios.txt</t>
  </si>
  <si>
    <t>terminado</t>
  </si>
  <si>
    <t>Cerrar el programa y verificar que los datos permanezcan</t>
  </si>
  <si>
    <t>Archivo de texto</t>
  </si>
  <si>
    <t xml:space="preserve">Reporte del listado de los usuarios. </t>
  </si>
  <si>
    <t>REQ007</t>
  </si>
  <si>
    <t>No existe un mecanismo para validar el acceso mediante PIN.</t>
  </si>
  <si>
    <t>Implementar autenticación por PIN.</t>
  </si>
  <si>
    <t>Permitir el acceso únicamente a usuarios autorizados.</t>
  </si>
  <si>
    <t>Solicitar el PIN, buscarlo en el archivo y validar si corresponde a un usuario registrado.</t>
  </si>
  <si>
    <t>Ingresar un PIN válido y uno incorrecto para verificar ambos resultados.</t>
  </si>
  <si>
    <t>Muestra acceso permitido o PIN incorrecto.</t>
  </si>
  <si>
    <t>Inicio de sesión mediante PIN</t>
  </si>
  <si>
    <t>Registro de usuarios</t>
  </si>
  <si>
    <t>Información almacenada permanentemente.</t>
  </si>
  <si>
    <t>Lectura directa desde el archivo.</t>
  </si>
  <si>
    <t>Visualización de usuarios registrados</t>
  </si>
  <si>
    <t>Actualización inmediata del archivo.</t>
  </si>
  <si>
    <t>Edicion de usuarios</t>
  </si>
  <si>
    <t>Evita accesos de usuarios no autorizados.</t>
  </si>
  <si>
    <t>Eliminación de usuarios</t>
  </si>
  <si>
    <t>Registrar un usuario y verificar que aparezca en el archivo y en la lista de usuarios.</t>
  </si>
  <si>
    <t>Buscar una cédula existente, editar los datos y verificar que los cambios se guarden correctamente.</t>
  </si>
  <si>
    <t>Eliminar un usuario y comprobar que ya no aparezca en la lista.</t>
  </si>
  <si>
    <t>Crear un menú con las opciones Gestion de usuarios(resgistrar usuario, visualizar usuario, editar usuario, eliminar usuario, resgresar) Iniciar sesión, Ver usuarios, Editar y Salir</t>
  </si>
  <si>
    <t>Solicitar nombre, cédula y PIN</t>
  </si>
  <si>
    <t>Leer el archivo usuarios.txt y mostrar todos los registros guardados.</t>
  </si>
  <si>
    <t>Buscar un usuario por su cédula y modificar el nombre y el PIN.</t>
  </si>
  <si>
    <t>Buscar el usuario por cédula y eliminar su registro.</t>
  </si>
  <si>
    <t>No es posible registrar usuarios autorizados.</t>
  </si>
  <si>
    <t>No se pueden consultar los usuarios registrados.</t>
  </si>
  <si>
    <t>Mostrar la información almacenada de usuarios.</t>
  </si>
  <si>
    <t>Permitir visualizar todos los usuarios registrados.</t>
  </si>
  <si>
    <t>No se pueden actualizar los datos de un usuario.</t>
  </si>
  <si>
    <t>Editar la información del usuario.</t>
  </si>
  <si>
    <t>Mantener actualizados los datos registrados.</t>
  </si>
  <si>
    <t>No existe una opción para eliminar usuarios que ya no deben tener acceso.</t>
  </si>
  <si>
    <t>Eliminar usuarios registrados.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</si>
</sst>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u/>
      <sz val="12"/>
      <color theme="1"/>
      <name val="Times New Roman"/>
      <family val="1"/>
    </font>
    <font>
      <b/>
      <i/>
      <sz val="12"/>
      <color rgb="FF9C6500"/>
      <name val="Times New Roman"/>
      <family val="1"/>
    </font>
    <font>
      <b/>
      <i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A7D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4" fillId="0" borderId="0" xfId="0" applyFont="1"/>
    <xf numFmtId="0" fontId="0" fillId="0" borderId="5" xfId="0" applyBorder="1"/>
    <xf numFmtId="0" fontId="5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vertical="center" wrapText="1"/>
    </xf>
    <xf numFmtId="0" fontId="5" fillId="0" borderId="23" xfId="0" applyFont="1" applyBorder="1" applyAlignment="1">
      <alignment horizontal="center" vertical="center" wrapText="1"/>
    </xf>
    <xf numFmtId="14" fontId="5" fillId="0" borderId="23" xfId="0" applyNumberFormat="1" applyFont="1" applyBorder="1" applyAlignment="1">
      <alignment horizontal="center" vertical="center" wrapText="1"/>
    </xf>
    <xf numFmtId="0" fontId="5" fillId="0" borderId="23" xfId="0" applyFont="1" applyBorder="1" applyAlignment="1">
      <alignment vertical="center"/>
    </xf>
    <xf numFmtId="0" fontId="5" fillId="8" borderId="23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5" fillId="3" borderId="7" xfId="0" applyFont="1" applyFill="1" applyBorder="1"/>
    <xf numFmtId="0" fontId="10" fillId="3" borderId="9" xfId="0" applyFont="1" applyFill="1" applyBorder="1" applyAlignment="1">
      <alignment horizontal="left" vertical="center" wrapText="1"/>
    </xf>
    <xf numFmtId="0" fontId="5" fillId="3" borderId="9" xfId="0" applyFont="1" applyFill="1" applyBorder="1"/>
    <xf numFmtId="0" fontId="5" fillId="3" borderId="8" xfId="0" applyFont="1" applyFill="1" applyBorder="1"/>
    <xf numFmtId="0" fontId="5" fillId="3" borderId="11" xfId="0" applyFont="1" applyFill="1" applyBorder="1"/>
    <xf numFmtId="0" fontId="12" fillId="4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vertical="center"/>
    </xf>
    <xf numFmtId="0" fontId="5" fillId="3" borderId="5" xfId="0" applyFont="1" applyFill="1" applyBorder="1"/>
    <xf numFmtId="0" fontId="5" fillId="3" borderId="12" xfId="0" applyFont="1" applyFill="1" applyBorder="1"/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/>
    </xf>
    <xf numFmtId="0" fontId="5" fillId="3" borderId="20" xfId="0" applyFont="1" applyFill="1" applyBorder="1"/>
    <xf numFmtId="0" fontId="5" fillId="3" borderId="21" xfId="0" applyFont="1" applyFill="1" applyBorder="1"/>
    <xf numFmtId="0" fontId="5" fillId="3" borderId="22" xfId="0" applyFont="1" applyFill="1" applyBorder="1"/>
    <xf numFmtId="0" fontId="12" fillId="6" borderId="6" xfId="0" applyFont="1" applyFill="1" applyBorder="1" applyAlignment="1">
      <alignment horizontal="center" vertical="center"/>
    </xf>
    <xf numFmtId="0" fontId="11" fillId="0" borderId="10" xfId="0" applyFont="1" applyBorder="1"/>
    <xf numFmtId="0" fontId="11" fillId="0" borderId="13" xfId="0" applyFont="1" applyBorder="1"/>
    <xf numFmtId="0" fontId="5" fillId="5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5" fillId="0" borderId="0" xfId="0" applyFont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5" fillId="2" borderId="14" xfId="0" applyFont="1" applyFill="1" applyBorder="1" applyAlignment="1">
      <alignment horizontal="center" vertical="center"/>
    </xf>
    <xf numFmtId="0" fontId="11" fillId="0" borderId="15" xfId="0" applyFont="1" applyBorder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2" fillId="4" borderId="1" xfId="0" applyFont="1" applyFill="1" applyBorder="1" applyAlignment="1">
      <alignment horizontal="center" vertical="center"/>
    </xf>
    <xf numFmtId="0" fontId="11" fillId="0" borderId="3" xfId="0" applyFont="1" applyBorder="1"/>
    <xf numFmtId="0" fontId="5" fillId="5" borderId="1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11" fillId="0" borderId="8" xfId="0" applyFont="1" applyBorder="1"/>
    <xf numFmtId="0" fontId="11" fillId="0" borderId="20" xfId="0" applyFont="1" applyBorder="1"/>
    <xf numFmtId="0" fontId="11" fillId="0" borderId="22" xfId="0" applyFont="1" applyBorder="1"/>
    <xf numFmtId="0" fontId="12" fillId="4" borderId="7" xfId="0" applyFont="1" applyFill="1" applyBorder="1" applyAlignment="1">
      <alignment horizontal="center" vertical="center"/>
    </xf>
    <xf numFmtId="0" fontId="11" fillId="0" borderId="11" xfId="0" applyFont="1" applyBorder="1"/>
    <xf numFmtId="0" fontId="11" fillId="0" borderId="12" xfId="0" applyFont="1" applyBorder="1"/>
    <xf numFmtId="0" fontId="5" fillId="5" borderId="7" xfId="0" applyFont="1" applyFill="1" applyBorder="1" applyAlignment="1">
      <alignment horizontal="center" vertical="center"/>
    </xf>
    <xf numFmtId="0" fontId="11" fillId="0" borderId="9" xfId="0" applyFont="1" applyBorder="1"/>
    <xf numFmtId="0" fontId="5" fillId="0" borderId="0" xfId="0" applyFont="1"/>
    <xf numFmtId="0" fontId="11" fillId="0" borderId="21" xfId="0" applyFont="1" applyBorder="1"/>
    <xf numFmtId="0" fontId="10" fillId="3" borderId="1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2" borderId="23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353042</xdr:colOff>
      <xdr:row>8</xdr:row>
      <xdr:rowOff>301625</xdr:rowOff>
    </xdr:from>
    <xdr:to>
      <xdr:col>14</xdr:col>
      <xdr:colOff>571500</xdr:colOff>
      <xdr:row>12</xdr:row>
      <xdr:rowOff>176630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56C37AA-0864-4A01-9518-B92C1820A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1730" y="1254125"/>
          <a:ext cx="1028083" cy="1145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topLeftCell="K1" zoomScale="60" zoomScaleNormal="60" workbookViewId="0">
      <selection activeCell="G12" sqref="G12"/>
    </sheetView>
  </sheetViews>
  <sheetFormatPr baseColWidth="10" defaultColWidth="12.625" defaultRowHeight="15" customHeight="1" x14ac:dyDescent="0.2"/>
  <cols>
    <col min="1" max="1" width="4.625" customWidth="1"/>
    <col min="2" max="2" width="9.5" bestFit="1" customWidth="1"/>
    <col min="3" max="5" width="20.625" customWidth="1"/>
    <col min="6" max="6" width="10.625" customWidth="1"/>
    <col min="7" max="7" width="32.5" customWidth="1"/>
    <col min="8" max="8" width="12.875" customWidth="1"/>
    <col min="9" max="9" width="14.375" customWidth="1"/>
    <col min="10" max="12" width="10.625" customWidth="1"/>
    <col min="13" max="13" width="32.5" customWidth="1"/>
    <col min="14" max="15" width="20.625" customWidth="1"/>
    <col min="16" max="26" width="9.375" customWidth="1"/>
  </cols>
  <sheetData>
    <row r="1" spans="1:26" ht="15.75" x14ac:dyDescent="0.25">
      <c r="A1" s="18"/>
      <c r="B1" s="18"/>
      <c r="C1" s="18"/>
      <c r="D1" s="18"/>
      <c r="E1" s="18"/>
      <c r="F1" s="18"/>
      <c r="G1" s="18"/>
      <c r="H1" s="18"/>
      <c r="I1" s="19"/>
      <c r="J1" s="19"/>
      <c r="K1" s="20"/>
      <c r="L1" s="19"/>
      <c r="M1" s="18"/>
      <c r="N1" s="18"/>
      <c r="O1" s="18"/>
    </row>
    <row r="2" spans="1:26" ht="15.75" x14ac:dyDescent="0.25">
      <c r="A2" s="18"/>
      <c r="B2" s="18"/>
      <c r="C2" s="18"/>
      <c r="D2" s="18"/>
      <c r="E2" s="18"/>
      <c r="F2" s="18"/>
      <c r="G2" s="18"/>
      <c r="H2" s="18"/>
      <c r="I2" s="19"/>
      <c r="J2" s="19"/>
      <c r="K2" s="20"/>
      <c r="L2" s="19"/>
      <c r="M2" s="18"/>
      <c r="N2" s="18"/>
      <c r="O2" s="18"/>
    </row>
    <row r="3" spans="1:26" ht="45" customHeight="1" x14ac:dyDescent="0.25">
      <c r="A3" s="18"/>
      <c r="B3" s="74" t="s">
        <v>0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</row>
    <row r="4" spans="1:26" ht="5.25" customHeight="1" x14ac:dyDescent="0.25">
      <c r="A4" s="18"/>
      <c r="B4" s="18"/>
      <c r="C4" s="18"/>
      <c r="D4" s="18"/>
      <c r="E4" s="18"/>
      <c r="F4" s="18"/>
      <c r="G4" s="18"/>
      <c r="H4" s="18"/>
      <c r="I4" s="19"/>
      <c r="J4" s="19"/>
      <c r="K4" s="20"/>
      <c r="L4" s="19"/>
      <c r="M4" s="18"/>
      <c r="N4" s="18"/>
      <c r="O4" s="18"/>
    </row>
    <row r="5" spans="1:26" ht="99.75" customHeight="1" x14ac:dyDescent="0.25">
      <c r="A5" s="18"/>
      <c r="B5" s="76" t="s">
        <v>1</v>
      </c>
      <c r="C5" s="76" t="s">
        <v>2</v>
      </c>
      <c r="D5" s="77" t="s">
        <v>3</v>
      </c>
      <c r="E5" s="76" t="s">
        <v>4</v>
      </c>
      <c r="F5" s="76" t="s">
        <v>5</v>
      </c>
      <c r="G5" s="76" t="s">
        <v>6</v>
      </c>
      <c r="H5" s="76" t="s">
        <v>7</v>
      </c>
      <c r="I5" s="76" t="s">
        <v>8</v>
      </c>
      <c r="J5" s="76" t="s">
        <v>9</v>
      </c>
      <c r="K5" s="76" t="s">
        <v>10</v>
      </c>
      <c r="L5" s="76" t="s">
        <v>11</v>
      </c>
      <c r="M5" s="76" t="s">
        <v>12</v>
      </c>
      <c r="N5" s="76" t="s">
        <v>13</v>
      </c>
      <c r="O5" s="76" t="s">
        <v>14</v>
      </c>
    </row>
    <row r="6" spans="1:26" ht="115.5" customHeight="1" x14ac:dyDescent="0.25">
      <c r="A6" s="18"/>
      <c r="B6" s="12" t="s">
        <v>15</v>
      </c>
      <c r="C6" s="13" t="s">
        <v>32</v>
      </c>
      <c r="D6" s="13" t="s">
        <v>33</v>
      </c>
      <c r="E6" s="13" t="s">
        <v>34</v>
      </c>
      <c r="F6" s="14" t="s">
        <v>35</v>
      </c>
      <c r="G6" s="13" t="s">
        <v>78</v>
      </c>
      <c r="H6" s="14" t="s">
        <v>36</v>
      </c>
      <c r="I6" s="14">
        <v>1</v>
      </c>
      <c r="J6" s="15">
        <v>46211</v>
      </c>
      <c r="K6" s="14" t="s">
        <v>18</v>
      </c>
      <c r="L6" s="14" t="s">
        <v>17</v>
      </c>
      <c r="M6" s="13" t="s">
        <v>37</v>
      </c>
      <c r="N6" s="13" t="s">
        <v>38</v>
      </c>
      <c r="O6" s="16" t="s">
        <v>39</v>
      </c>
    </row>
    <row r="7" spans="1:26" ht="103.5" customHeight="1" x14ac:dyDescent="0.25">
      <c r="A7" s="18"/>
      <c r="B7" s="12" t="s">
        <v>40</v>
      </c>
      <c r="C7" s="14" t="s">
        <v>83</v>
      </c>
      <c r="D7" s="14" t="s">
        <v>41</v>
      </c>
      <c r="E7" s="14" t="s">
        <v>42</v>
      </c>
      <c r="F7" s="14" t="s">
        <v>35</v>
      </c>
      <c r="G7" s="14" t="s">
        <v>79</v>
      </c>
      <c r="H7" s="14" t="s">
        <v>36</v>
      </c>
      <c r="I7" s="14">
        <v>1</v>
      </c>
      <c r="J7" s="15">
        <v>46211</v>
      </c>
      <c r="K7" s="14" t="s">
        <v>18</v>
      </c>
      <c r="L7" s="14" t="s">
        <v>17</v>
      </c>
      <c r="M7" s="14" t="s">
        <v>75</v>
      </c>
      <c r="N7" s="14" t="s">
        <v>68</v>
      </c>
      <c r="O7" s="14" t="s">
        <v>67</v>
      </c>
    </row>
    <row r="8" spans="1:26" ht="99.75" customHeight="1" x14ac:dyDescent="0.2">
      <c r="A8" s="21"/>
      <c r="B8" s="12" t="s">
        <v>43</v>
      </c>
      <c r="C8" s="14" t="s">
        <v>84</v>
      </c>
      <c r="D8" s="14" t="s">
        <v>85</v>
      </c>
      <c r="E8" s="14" t="s">
        <v>86</v>
      </c>
      <c r="F8" s="14" t="s">
        <v>35</v>
      </c>
      <c r="G8" s="14" t="s">
        <v>80</v>
      </c>
      <c r="H8" s="14" t="s">
        <v>44</v>
      </c>
      <c r="I8" s="14">
        <v>1</v>
      </c>
      <c r="J8" s="15">
        <v>46211</v>
      </c>
      <c r="K8" s="14" t="s">
        <v>18</v>
      </c>
      <c r="L8" s="14" t="s">
        <v>17</v>
      </c>
      <c r="M8" s="14" t="s">
        <v>45</v>
      </c>
      <c r="N8" s="14" t="s">
        <v>69</v>
      </c>
      <c r="O8" s="14" t="s">
        <v>70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78" customHeight="1" x14ac:dyDescent="0.25">
      <c r="A9" s="18"/>
      <c r="B9" s="12" t="s">
        <v>46</v>
      </c>
      <c r="C9" s="14" t="s">
        <v>87</v>
      </c>
      <c r="D9" s="14" t="s">
        <v>88</v>
      </c>
      <c r="E9" s="14" t="s">
        <v>89</v>
      </c>
      <c r="F9" s="14" t="s">
        <v>35</v>
      </c>
      <c r="G9" s="17" t="s">
        <v>81</v>
      </c>
      <c r="H9" s="14" t="s">
        <v>47</v>
      </c>
      <c r="I9" s="14">
        <v>1</v>
      </c>
      <c r="J9" s="15">
        <v>46211</v>
      </c>
      <c r="K9" s="14" t="s">
        <v>18</v>
      </c>
      <c r="L9" s="14" t="s">
        <v>17</v>
      </c>
      <c r="M9" s="14" t="s">
        <v>76</v>
      </c>
      <c r="N9" s="14" t="s">
        <v>71</v>
      </c>
      <c r="O9" s="14" t="s">
        <v>72</v>
      </c>
    </row>
    <row r="10" spans="1:26" ht="78" customHeight="1" x14ac:dyDescent="0.25">
      <c r="A10" s="18"/>
      <c r="B10" s="12" t="s">
        <v>48</v>
      </c>
      <c r="C10" s="13" t="s">
        <v>90</v>
      </c>
      <c r="D10" s="13" t="s">
        <v>91</v>
      </c>
      <c r="E10" s="13" t="s">
        <v>49</v>
      </c>
      <c r="F10" s="14" t="s">
        <v>35</v>
      </c>
      <c r="G10" s="13" t="s">
        <v>82</v>
      </c>
      <c r="H10" s="14" t="s">
        <v>44</v>
      </c>
      <c r="I10" s="14">
        <v>1</v>
      </c>
      <c r="J10" s="15">
        <v>46211</v>
      </c>
      <c r="K10" s="14" t="s">
        <v>18</v>
      </c>
      <c r="L10" s="14" t="s">
        <v>17</v>
      </c>
      <c r="M10" s="13" t="s">
        <v>77</v>
      </c>
      <c r="N10" s="13" t="s">
        <v>73</v>
      </c>
      <c r="O10" s="13" t="s">
        <v>74</v>
      </c>
    </row>
    <row r="11" spans="1:26" ht="66" customHeight="1" x14ac:dyDescent="0.25">
      <c r="A11" s="18"/>
      <c r="B11" s="12" t="s">
        <v>50</v>
      </c>
      <c r="C11" s="13" t="s">
        <v>60</v>
      </c>
      <c r="D11" s="13" t="s">
        <v>61</v>
      </c>
      <c r="E11" s="13" t="s">
        <v>62</v>
      </c>
      <c r="F11" s="14" t="s">
        <v>35</v>
      </c>
      <c r="G11" s="13" t="s">
        <v>63</v>
      </c>
      <c r="H11" s="14" t="s">
        <v>36</v>
      </c>
      <c r="I11" s="14">
        <v>1</v>
      </c>
      <c r="J11" s="15">
        <v>46212</v>
      </c>
      <c r="K11" s="14" t="s">
        <v>18</v>
      </c>
      <c r="L11" s="14" t="s">
        <v>17</v>
      </c>
      <c r="M11" s="13" t="s">
        <v>64</v>
      </c>
      <c r="N11" s="13" t="s">
        <v>65</v>
      </c>
      <c r="O11" s="13" t="s">
        <v>66</v>
      </c>
      <c r="P11" s="10"/>
    </row>
    <row r="12" spans="1:26" ht="99.75" customHeight="1" x14ac:dyDescent="0.25">
      <c r="A12" s="18"/>
      <c r="B12" s="12" t="s">
        <v>59</v>
      </c>
      <c r="C12" s="13" t="s">
        <v>51</v>
      </c>
      <c r="D12" s="13" t="s">
        <v>52</v>
      </c>
      <c r="E12" s="13" t="s">
        <v>53</v>
      </c>
      <c r="F12" s="14" t="s">
        <v>35</v>
      </c>
      <c r="G12" s="13" t="s">
        <v>54</v>
      </c>
      <c r="H12" s="14" t="s">
        <v>47</v>
      </c>
      <c r="I12" s="14">
        <v>1</v>
      </c>
      <c r="J12" s="15">
        <v>46211</v>
      </c>
      <c r="K12" s="14" t="s">
        <v>18</v>
      </c>
      <c r="L12" s="14" t="s">
        <v>55</v>
      </c>
      <c r="M12" s="13" t="s">
        <v>56</v>
      </c>
      <c r="N12" s="13" t="s">
        <v>57</v>
      </c>
      <c r="O12" s="13" t="s">
        <v>58</v>
      </c>
    </row>
    <row r="13" spans="1:26" ht="72" customHeight="1" x14ac:dyDescent="0.2">
      <c r="B13" s="11"/>
    </row>
    <row r="14" spans="1:26" ht="65.25" customHeight="1" x14ac:dyDescent="0.2">
      <c r="I14" s="1"/>
      <c r="J14" s="1"/>
      <c r="K14" s="7"/>
      <c r="L14" s="3"/>
    </row>
    <row r="15" spans="1:26" ht="64.5" customHeight="1" x14ac:dyDescent="0.2">
      <c r="I15" s="1"/>
      <c r="J15" s="1"/>
      <c r="K15" s="7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39.75" customHeight="1" x14ac:dyDescent="0.25">
      <c r="I18" s="1"/>
      <c r="J18" s="1"/>
      <c r="K18" s="2"/>
      <c r="L18" s="3"/>
    </row>
    <row r="19" spans="9:13" ht="19.5" customHeight="1" x14ac:dyDescent="0.25">
      <c r="I19" s="1"/>
      <c r="J19" s="1"/>
      <c r="K19" s="8" t="s">
        <v>18</v>
      </c>
      <c r="L19" s="9" t="s">
        <v>19</v>
      </c>
      <c r="M19" s="4"/>
    </row>
    <row r="20" spans="9:13" ht="19.5" customHeight="1" x14ac:dyDescent="0.25">
      <c r="I20" s="1"/>
      <c r="J20" s="1"/>
      <c r="K20" s="8" t="s">
        <v>16</v>
      </c>
      <c r="L20" s="9" t="s">
        <v>20</v>
      </c>
      <c r="M20" s="4"/>
    </row>
    <row r="21" spans="9:13" ht="19.5" customHeight="1" x14ac:dyDescent="0.25">
      <c r="I21" s="1"/>
      <c r="J21" s="1"/>
      <c r="K21" s="8" t="s">
        <v>21</v>
      </c>
      <c r="L21" s="9" t="s">
        <v>17</v>
      </c>
      <c r="M21" s="4"/>
    </row>
    <row r="22" spans="9:13" ht="19.5" customHeight="1" x14ac:dyDescent="0.25">
      <c r="I22" s="1"/>
      <c r="J22" s="1"/>
      <c r="K22" s="8"/>
      <c r="L22" s="9" t="s">
        <v>22</v>
      </c>
      <c r="M22" s="4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9.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5">
      <c r="I988" s="1"/>
      <c r="J988" s="1"/>
      <c r="K988" s="2"/>
      <c r="L988" s="3"/>
    </row>
    <row r="989" spans="9:12" ht="15.75" customHeight="1" x14ac:dyDescent="0.2">
      <c r="I989" s="3"/>
      <c r="J989" s="3"/>
      <c r="K989" s="6"/>
      <c r="L989" s="3"/>
    </row>
    <row r="990" spans="9:12" ht="15.75" customHeight="1" x14ac:dyDescent="0.2">
      <c r="I990" s="3"/>
      <c r="J990" s="3"/>
      <c r="K990" s="6"/>
      <c r="L990" s="3"/>
    </row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B3:O3"/>
  </mergeCells>
  <phoneticPr fontId="3" type="noConversion"/>
  <dataValidations count="2">
    <dataValidation type="list" allowBlank="1" showErrorMessage="1" sqref="K6:K12" xr:uid="{63DF82ED-4091-4ED4-94CB-6E3D786ECFDD}">
      <formula1>$K$18:$K$20</formula1>
    </dataValidation>
    <dataValidation type="list" allowBlank="1" showErrorMessage="1" sqref="L6:L12" xr:uid="{87C9CCB9-F9E7-4435-8A78-22CEE16DB5E3}">
      <formula1>$L$18:$L$21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20"/>
  <sheetViews>
    <sheetView showGridLines="0" topLeftCell="A12" zoomScale="120" zoomScaleNormal="12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1" spans="1:16" ht="1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5" hidden="1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15" hidden="1" customHeight="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ht="15.75" hidden="1" x14ac:dyDescent="0.25">
      <c r="A4" s="18"/>
      <c r="B4" s="18"/>
      <c r="C4" s="24"/>
      <c r="D4" s="24"/>
      <c r="E4" s="24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ht="15.75" hidden="1" x14ac:dyDescent="0.25">
      <c r="A5" s="18"/>
      <c r="B5" s="18"/>
      <c r="C5" s="24"/>
      <c r="D5" s="24"/>
      <c r="E5" s="24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ht="39.75" customHeight="1" x14ac:dyDescent="0.25">
      <c r="A6" s="18"/>
      <c r="B6" s="72" t="s">
        <v>23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59"/>
    </row>
    <row r="7" spans="1:16" ht="9.75" customHeight="1" x14ac:dyDescent="0.25">
      <c r="A7" s="18"/>
      <c r="B7" s="18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18"/>
    </row>
    <row r="8" spans="1:16" ht="9.75" customHeight="1" x14ac:dyDescent="0.25">
      <c r="A8" s="18"/>
      <c r="B8" s="26"/>
      <c r="C8" s="27"/>
      <c r="D8" s="27"/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</row>
    <row r="9" spans="1:16" ht="30" customHeight="1" x14ac:dyDescent="0.25">
      <c r="A9" s="18"/>
      <c r="B9" s="30"/>
      <c r="C9" s="31" t="s">
        <v>1</v>
      </c>
      <c r="D9" s="32"/>
      <c r="E9" s="58" t="s">
        <v>24</v>
      </c>
      <c r="F9" s="59"/>
      <c r="G9" s="32"/>
      <c r="H9" s="58" t="s">
        <v>11</v>
      </c>
      <c r="I9" s="59"/>
      <c r="J9" s="33"/>
      <c r="K9" s="33"/>
      <c r="L9" s="33"/>
      <c r="M9" s="33"/>
      <c r="N9" s="33"/>
      <c r="O9" s="33"/>
      <c r="P9" s="34"/>
    </row>
    <row r="10" spans="1:16" ht="30" customHeight="1" x14ac:dyDescent="0.25">
      <c r="A10" s="18"/>
      <c r="B10" s="30"/>
      <c r="C10" s="22" t="s">
        <v>15</v>
      </c>
      <c r="D10" s="35"/>
      <c r="E10" s="60" t="str">
        <f>VLOOKUP(C10,'Formato descripción HU'!B6:O15,5,0)</f>
        <v>Alex Chuquimarca</v>
      </c>
      <c r="F10" s="59"/>
      <c r="G10" s="36"/>
      <c r="H10" s="60" t="str">
        <f>VLOOKUP(C10,'Formato descripción HU'!B6:O15,11,0)</f>
        <v>Terminado</v>
      </c>
      <c r="I10" s="59"/>
      <c r="J10" s="36"/>
      <c r="K10" s="33"/>
      <c r="L10" s="33"/>
      <c r="M10" s="33"/>
      <c r="N10" s="33"/>
      <c r="O10" s="33"/>
      <c r="P10" s="34"/>
    </row>
    <row r="11" spans="1:16" ht="9.75" customHeight="1" x14ac:dyDescent="0.25">
      <c r="A11" s="18"/>
      <c r="B11" s="30"/>
      <c r="C11" s="23"/>
      <c r="D11" s="35"/>
      <c r="E11" s="23"/>
      <c r="F11" s="23"/>
      <c r="G11" s="36"/>
      <c r="H11" s="23"/>
      <c r="I11" s="23"/>
      <c r="J11" s="36"/>
      <c r="K11" s="23"/>
      <c r="L11" s="23"/>
      <c r="M11" s="33"/>
      <c r="N11" s="23"/>
      <c r="O11" s="23"/>
      <c r="P11" s="34"/>
    </row>
    <row r="12" spans="1:16" ht="30" customHeight="1" x14ac:dyDescent="0.25">
      <c r="A12" s="18"/>
      <c r="B12" s="30"/>
      <c r="C12" s="31" t="s">
        <v>25</v>
      </c>
      <c r="D12" s="35"/>
      <c r="E12" s="58" t="s">
        <v>10</v>
      </c>
      <c r="F12" s="59"/>
      <c r="G12" s="36"/>
      <c r="H12" s="58" t="s">
        <v>26</v>
      </c>
      <c r="I12" s="59"/>
      <c r="J12" s="36"/>
      <c r="K12" s="23"/>
      <c r="L12" s="23"/>
      <c r="M12" s="33"/>
      <c r="N12" s="23"/>
      <c r="O12" s="23"/>
      <c r="P12" s="34"/>
    </row>
    <row r="13" spans="1:16" ht="30" customHeight="1" x14ac:dyDescent="0.25">
      <c r="A13" s="18"/>
      <c r="B13" s="30"/>
      <c r="C13" s="22">
        <f>VLOOKUP('Historia de Usuario'!C10,'Formato descripción HU'!B6:O15,8,0)</f>
        <v>1</v>
      </c>
      <c r="D13" s="35"/>
      <c r="E13" s="60" t="str">
        <f>VLOOKUP(C10,'Formato descripción HU'!B6:O15,10,0)</f>
        <v>Alta</v>
      </c>
      <c r="F13" s="59"/>
      <c r="G13" s="36"/>
      <c r="H13" s="60" t="str">
        <f>VLOOKUP(C10,'Formato descripción HU'!B6:O15,7,0)</f>
        <v>Jhosue Angamarca</v>
      </c>
      <c r="I13" s="59"/>
      <c r="J13" s="36"/>
      <c r="K13" s="23"/>
      <c r="L13" s="23"/>
      <c r="M13" s="33"/>
      <c r="N13" s="23"/>
      <c r="O13" s="23"/>
      <c r="P13" s="34"/>
    </row>
    <row r="14" spans="1:16" ht="9.75" customHeight="1" x14ac:dyDescent="0.25">
      <c r="A14" s="18"/>
      <c r="B14" s="30"/>
      <c r="C14" s="33"/>
      <c r="D14" s="35"/>
      <c r="E14" s="33"/>
      <c r="F14" s="33"/>
      <c r="G14" s="36"/>
      <c r="H14" s="36"/>
      <c r="I14" s="33"/>
      <c r="J14" s="33"/>
      <c r="K14" s="33"/>
      <c r="L14" s="33"/>
      <c r="M14" s="33"/>
      <c r="N14" s="33"/>
      <c r="O14" s="33"/>
      <c r="P14" s="34"/>
    </row>
    <row r="15" spans="1:16" ht="19.5" customHeight="1" x14ac:dyDescent="0.25">
      <c r="A15" s="18"/>
      <c r="B15" s="30"/>
      <c r="C15" s="40" t="s">
        <v>27</v>
      </c>
      <c r="D15" s="43" t="str">
        <f>VLOOKUP(C10,'Formato descripción HU'!B6:O15,3,0)</f>
        <v>Implementar un menú principal</v>
      </c>
      <c r="E15" s="62"/>
      <c r="F15" s="33"/>
      <c r="G15" s="40" t="s">
        <v>28</v>
      </c>
      <c r="H15" s="43" t="str">
        <f>VLOOKUP(C10,'Formato descripción HU'!B6:O15,4,0)</f>
        <v>Facilitar el uso del sistema</v>
      </c>
      <c r="I15" s="69"/>
      <c r="J15" s="62"/>
      <c r="K15" s="33"/>
      <c r="L15" s="40" t="s">
        <v>29</v>
      </c>
      <c r="M15" s="43" t="str">
        <f>VLOOKUP(C10,'Formato descripción HU'!B6:O15,6,0)</f>
        <v>Crear un menú con las opciones Gestion de usuarios(resgistrar usuario, visualizar usuario, editar usuario, eliminar usuario, resgresar) Iniciar sesión, Ver usuarios, Editar y Salir</v>
      </c>
      <c r="N15" s="44"/>
      <c r="O15" s="45"/>
      <c r="P15" s="34"/>
    </row>
    <row r="16" spans="1:16" ht="19.5" customHeight="1" x14ac:dyDescent="0.25">
      <c r="A16" s="18"/>
      <c r="B16" s="30"/>
      <c r="C16" s="41"/>
      <c r="D16" s="66"/>
      <c r="E16" s="67"/>
      <c r="F16" s="33"/>
      <c r="G16" s="41"/>
      <c r="H16" s="66"/>
      <c r="I16" s="70"/>
      <c r="J16" s="67"/>
      <c r="K16" s="33"/>
      <c r="L16" s="41"/>
      <c r="M16" s="46"/>
      <c r="N16" s="47"/>
      <c r="O16" s="48"/>
      <c r="P16" s="34"/>
    </row>
    <row r="17" spans="1:16" ht="19.5" customHeight="1" x14ac:dyDescent="0.25">
      <c r="A17" s="18"/>
      <c r="B17" s="30"/>
      <c r="C17" s="42"/>
      <c r="D17" s="63"/>
      <c r="E17" s="64"/>
      <c r="F17" s="33"/>
      <c r="G17" s="42"/>
      <c r="H17" s="63"/>
      <c r="I17" s="71"/>
      <c r="J17" s="64"/>
      <c r="K17" s="33"/>
      <c r="L17" s="42"/>
      <c r="M17" s="49"/>
      <c r="N17" s="50"/>
      <c r="O17" s="51"/>
      <c r="P17" s="34"/>
    </row>
    <row r="18" spans="1:16" ht="9.75" customHeight="1" x14ac:dyDescent="0.25">
      <c r="A18" s="18"/>
      <c r="B18" s="30"/>
      <c r="C18" s="33"/>
      <c r="D18" s="33"/>
      <c r="E18" s="33"/>
      <c r="F18" s="33"/>
      <c r="G18" s="36"/>
      <c r="H18" s="36"/>
      <c r="I18" s="36"/>
      <c r="J18" s="33"/>
      <c r="K18" s="33"/>
      <c r="L18" s="33"/>
      <c r="M18" s="33"/>
      <c r="N18" s="33"/>
      <c r="O18" s="33"/>
      <c r="P18" s="34"/>
    </row>
    <row r="19" spans="1:16" ht="19.5" customHeight="1" x14ac:dyDescent="0.25">
      <c r="A19" s="18"/>
      <c r="B19" s="30"/>
      <c r="C19" s="61" t="s">
        <v>30</v>
      </c>
      <c r="D19" s="62"/>
      <c r="E19" s="52" t="str">
        <f>VLOOKUP(C10,'Formato descripción HU'!B6:O15,14,0)</f>
        <v xml:space="preserve">Menú principal </v>
      </c>
      <c r="F19" s="53"/>
      <c r="G19" s="53"/>
      <c r="H19" s="53"/>
      <c r="I19" s="53"/>
      <c r="J19" s="53"/>
      <c r="K19" s="53"/>
      <c r="L19" s="53"/>
      <c r="M19" s="53"/>
      <c r="N19" s="53"/>
      <c r="O19" s="54"/>
      <c r="P19" s="34"/>
    </row>
    <row r="20" spans="1:16" ht="19.5" customHeight="1" x14ac:dyDescent="0.25">
      <c r="A20" s="18"/>
      <c r="B20" s="30"/>
      <c r="C20" s="63"/>
      <c r="D20" s="64"/>
      <c r="E20" s="55"/>
      <c r="F20" s="56"/>
      <c r="G20" s="56"/>
      <c r="H20" s="56"/>
      <c r="I20" s="56"/>
      <c r="J20" s="56"/>
      <c r="K20" s="56"/>
      <c r="L20" s="56"/>
      <c r="M20" s="56"/>
      <c r="N20" s="56"/>
      <c r="O20" s="57"/>
      <c r="P20" s="34"/>
    </row>
    <row r="21" spans="1:16" ht="9.75" customHeight="1" x14ac:dyDescent="0.25">
      <c r="A21" s="18"/>
      <c r="B21" s="30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</row>
    <row r="22" spans="1:16" ht="19.5" customHeight="1" x14ac:dyDescent="0.25">
      <c r="A22" s="18"/>
      <c r="B22" s="30"/>
      <c r="C22" s="65" t="s">
        <v>31</v>
      </c>
      <c r="D22" s="62"/>
      <c r="E22" s="68" t="str">
        <f>VLOOKUP(C10,'Formato descripción HU'!B6:O15,12,0)</f>
        <v>Navegar por todas las opciones del menú</v>
      </c>
      <c r="F22" s="69"/>
      <c r="G22" s="69"/>
      <c r="H22" s="62"/>
      <c r="I22" s="33"/>
      <c r="J22" s="65" t="s">
        <v>13</v>
      </c>
      <c r="K22" s="62"/>
      <c r="L22" s="68" t="str">
        <f>VLOOKUP(C10,'Formato descripción HU'!B6:O15,13,0)</f>
        <v>Menú sencillo e intuitivo</v>
      </c>
      <c r="M22" s="69"/>
      <c r="N22" s="69"/>
      <c r="O22" s="62"/>
      <c r="P22" s="34"/>
    </row>
    <row r="23" spans="1:16" ht="19.5" customHeight="1" x14ac:dyDescent="0.25">
      <c r="A23" s="18"/>
      <c r="B23" s="30"/>
      <c r="C23" s="66"/>
      <c r="D23" s="67"/>
      <c r="E23" s="66"/>
      <c r="F23" s="70"/>
      <c r="G23" s="70"/>
      <c r="H23" s="67"/>
      <c r="I23" s="33"/>
      <c r="J23" s="66"/>
      <c r="K23" s="67"/>
      <c r="L23" s="66"/>
      <c r="M23" s="70"/>
      <c r="N23" s="70"/>
      <c r="O23" s="67"/>
      <c r="P23" s="34"/>
    </row>
    <row r="24" spans="1:16" ht="19.5" customHeight="1" x14ac:dyDescent="0.25">
      <c r="A24" s="18"/>
      <c r="B24" s="30"/>
      <c r="C24" s="63"/>
      <c r="D24" s="64"/>
      <c r="E24" s="63"/>
      <c r="F24" s="71"/>
      <c r="G24" s="71"/>
      <c r="H24" s="64"/>
      <c r="I24" s="33"/>
      <c r="J24" s="63"/>
      <c r="K24" s="64"/>
      <c r="L24" s="63"/>
      <c r="M24" s="71"/>
      <c r="N24" s="71"/>
      <c r="O24" s="64"/>
      <c r="P24" s="34"/>
    </row>
    <row r="25" spans="1:16" ht="9.75" customHeight="1" x14ac:dyDescent="0.25">
      <c r="A25" s="18"/>
      <c r="B25" s="37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</row>
    <row r="26" spans="1:16" ht="19.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 ht="19.5" customHeight="1" x14ac:dyDescent="0.2"/>
    <row r="28" spans="1:16" ht="19.5" customHeight="1" x14ac:dyDescent="0.2"/>
    <row r="29" spans="1:16" ht="19.5" customHeight="1" x14ac:dyDescent="0.2"/>
    <row r="30" spans="1:16" ht="19.5" customHeight="1" x14ac:dyDescent="0.2"/>
    <row r="31" spans="1:16" ht="19.5" customHeight="1" x14ac:dyDescent="0.2"/>
    <row r="32" spans="1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Admin</cp:lastModifiedBy>
  <cp:revision/>
  <dcterms:created xsi:type="dcterms:W3CDTF">2019-10-21T15:37:14Z</dcterms:created>
  <dcterms:modified xsi:type="dcterms:W3CDTF">2026-07-15T03:49:02Z</dcterms:modified>
  <cp:category/>
  <cp:contentStatus/>
</cp:coreProperties>
</file>