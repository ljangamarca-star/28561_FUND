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300\Documents\"/>
    </mc:Choice>
  </mc:AlternateContent>
  <xr:revisionPtr revIDLastSave="0" documentId="8_{E3C3A211-6788-41D4-ADFB-BD74D677EA1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j/6vPIviJPFrN6TLB5bKIb/0uhzg=="/>
    </ext>
  </extLst>
</workbook>
</file>

<file path=xl/calcChain.xml><?xml version="1.0" encoding="utf-8"?>
<calcChain xmlns="http://schemas.openxmlformats.org/spreadsheetml/2006/main">
  <c r="M15" i="2" l="1"/>
  <c r="L22" i="2"/>
  <c r="E22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<sst xmlns="http://schemas.openxmlformats.org/spreadsheetml/2006/main" count="108" uniqueCount="82">
  <si>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</si>
  <si>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</si>
  <si>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</si>
  <si>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</si>
  <si>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</si>
  <si>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</si>
  <si>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</si>
  <si>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</si>
  <si>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</si>
  <si>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</si>
  <si>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</si>
  <si>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</si>
  <si>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</si>
  <si>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</si>
  <si>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</si>
  <si>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</si>
  <si>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Media </t>
  </si>
  <si>
    <t>Terminado</t>
  </si>
  <si>
    <t>Alta</t>
  </si>
  <si>
    <t>No iniciado</t>
  </si>
  <si>
    <t>En proceso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</si>
  <si>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</si>
  <si>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</si>
  <si>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</si>
  <si>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</si>
  <si>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</si>
  <si>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</si>
  <si>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</si>
  <si>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</si>
  <si>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</si>
  <si>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</si>
  <si>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</si>
  <si>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No existe una interfaz organizada</t>
  </si>
  <si>
    <t>Implementar un menú principal</t>
  </si>
  <si>
    <t>Facilitar el uso del sistema</t>
  </si>
  <si>
    <t>Alex Chuquimarca</t>
  </si>
  <si>
    <t>Crear un menú con las opciones Registrar, Iniciar sesión, Ver usuarios, Editar y Salir</t>
  </si>
  <si>
    <t>Jhosue Angamarca</t>
  </si>
  <si>
    <t>Navegar por todas las opciones del menú</t>
  </si>
  <si>
    <t>Menú sencillo e intuitivo</t>
  </si>
  <si>
    <t xml:space="preserve">Menú principal </t>
  </si>
  <si>
    <t>REQ002</t>
  </si>
  <si>
    <t xml:space="preserve">Ingreso de datos seguros de personas deseadas </t>
  </si>
  <si>
    <t xml:space="preserve">Resgistro de datos de los residentes de la vivienda </t>
  </si>
  <si>
    <t>Para brindar seguridad dentro de la vivienda.</t>
  </si>
  <si>
    <t xml:space="preserve">1.  Creacion de registros de ususarios  de las personas autorizadas </t>
  </si>
  <si>
    <t>Mediante la creacion de un menu anidado BIENVENIDOS AL SITEMA D.J.F INGRESE SU PIN…</t>
  </si>
  <si>
    <t xml:space="preserve">3 intentos por usuario </t>
  </si>
  <si>
    <t xml:space="preserve">Ingreso  de PIN seguro a la vivienda </t>
  </si>
  <si>
    <t>REQ003</t>
  </si>
  <si>
    <t>Ingreso de personas no deseadas</t>
  </si>
  <si>
    <t xml:space="preserve">Evitar el ingreso de personas no autorizadas </t>
  </si>
  <si>
    <t xml:space="preserve">Para garantizar la  seguridad integral de los usuarios </t>
  </si>
  <si>
    <t>1. Mediante la lectura por sistema de digitos unicos, nombre y cedula .</t>
  </si>
  <si>
    <t>Daniel Iza</t>
  </si>
  <si>
    <t xml:space="preserve">Con el analisis de los datos ingresados previamente, se realiza una evaluacion de usuario registrado y no registrado.   </t>
  </si>
  <si>
    <t xml:space="preserve"> Compilacion de informacion ingresada.</t>
  </si>
  <si>
    <t>REQ004</t>
  </si>
  <si>
    <t xml:space="preserve">Funcionamiento del sistema en arduino </t>
  </si>
  <si>
    <t xml:space="preserve">Lectura correcta de la información ingresado por teclado </t>
  </si>
  <si>
    <t xml:space="preserve">Para el correcto analisis de la informacion de las personas autorizadas  </t>
  </si>
  <si>
    <t xml:space="preserve">1. programando mediante  la aplicación del codeblocks </t>
  </si>
  <si>
    <t xml:space="preserve">Francisco Comina </t>
  </si>
  <si>
    <t>Mediante la lectrura del pin ingresado por el teclado.</t>
  </si>
  <si>
    <t>Visualizacion de datos del usuario.</t>
  </si>
  <si>
    <t>REQ005</t>
  </si>
  <si>
    <t>La información de un usuario puede cambiar</t>
  </si>
  <si>
    <t>Editar los datos de un usuario</t>
  </si>
  <si>
    <t>Mantener la información actualizada</t>
  </si>
  <si>
    <t>Buscar al usuario por cédula y modificar nombre, cédula o PIN</t>
  </si>
  <si>
    <t>Editar un usuario y verificar que los cambios se guarden</t>
  </si>
  <si>
    <t>Actualización inmediata del archivo</t>
  </si>
  <si>
    <t>Edición de datos de los usuarios.</t>
  </si>
  <si>
    <t>REQ006</t>
  </si>
  <si>
    <t>Los datos se pierden al cerrar el programa</t>
  </si>
  <si>
    <t>Guardar automáticamente la información</t>
  </si>
  <si>
    <t>Conservar los usuarios registrados entre ejecuciones</t>
  </si>
  <si>
    <t>Escribir y leer la información desde el archivo usuarios.txt</t>
  </si>
  <si>
    <t>terminado</t>
  </si>
  <si>
    <t>Cerrar el programa y verificar que los datos permanezcan</t>
  </si>
  <si>
    <t>Archivo de texto</t>
  </si>
  <si>
    <t xml:space="preserve">Reporte del listado de los usuarios.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</si>
</sst>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u/>
      <sz val="12"/>
      <color theme="1"/>
      <name val="Times New Roman"/>
      <family val="1"/>
    </font>
    <font>
      <b/>
      <i/>
      <sz val="12"/>
      <color rgb="FF9C6500"/>
      <name val="Times New Roman"/>
      <family val="1"/>
    </font>
    <font>
      <b/>
      <i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A7D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7B7B7B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B7B7B"/>
      </left>
      <right style="thin">
        <color rgb="FF7B7B7B"/>
      </right>
      <top style="thin">
        <color rgb="FF7B7B7B"/>
      </top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4" fillId="0" borderId="0" xfId="0" applyFont="1"/>
    <xf numFmtId="0" fontId="0" fillId="0" borderId="7" xfId="0" applyBorder="1"/>
    <xf numFmtId="0" fontId="5" fillId="0" borderId="25" xfId="0" applyFont="1" applyBorder="1" applyAlignment="1">
      <alignment horizontal="center" vertical="center"/>
    </xf>
    <xf numFmtId="0" fontId="5" fillId="0" borderId="25" xfId="0" applyFont="1" applyBorder="1" applyAlignment="1">
      <alignment vertical="center" wrapText="1"/>
    </xf>
    <xf numFmtId="0" fontId="5" fillId="0" borderId="25" xfId="0" applyFont="1" applyBorder="1" applyAlignment="1">
      <alignment horizontal="center" vertical="center" wrapText="1"/>
    </xf>
    <xf numFmtId="14" fontId="5" fillId="0" borderId="25" xfId="0" applyNumberFormat="1" applyFont="1" applyBorder="1" applyAlignment="1">
      <alignment horizontal="center" vertical="center" wrapText="1"/>
    </xf>
    <xf numFmtId="0" fontId="5" fillId="0" borderId="25" xfId="0" applyFont="1" applyBorder="1" applyAlignment="1">
      <alignment vertical="center"/>
    </xf>
    <xf numFmtId="0" fontId="5" fillId="8" borderId="25" xfId="0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/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2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/>
    <xf numFmtId="0" fontId="11" fillId="0" borderId="5" xfId="0" applyFont="1" applyBorder="1" applyAlignment="1"/>
    <xf numFmtId="0" fontId="10" fillId="0" borderId="0" xfId="0" applyFont="1" applyAlignment="1">
      <alignment horizontal="center" vertical="center" wrapText="1"/>
    </xf>
    <xf numFmtId="0" fontId="5" fillId="3" borderId="9" xfId="0" applyFont="1" applyFill="1" applyBorder="1"/>
    <xf numFmtId="0" fontId="10" fillId="3" borderId="11" xfId="0" applyFont="1" applyFill="1" applyBorder="1" applyAlignment="1">
      <alignment horizontal="left" vertical="center" wrapText="1"/>
    </xf>
    <xf numFmtId="0" fontId="5" fillId="3" borderId="11" xfId="0" applyFont="1" applyFill="1" applyBorder="1"/>
    <xf numFmtId="0" fontId="5" fillId="3" borderId="10" xfId="0" applyFont="1" applyFill="1" applyBorder="1"/>
    <xf numFmtId="0" fontId="5" fillId="3" borderId="13" xfId="0" applyFont="1" applyFill="1" applyBorder="1"/>
    <xf numFmtId="0" fontId="12" fillId="4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vertical="center"/>
    </xf>
    <xf numFmtId="0" fontId="12" fillId="4" borderId="3" xfId="0" applyFont="1" applyFill="1" applyBorder="1" applyAlignment="1">
      <alignment horizontal="center" vertical="center"/>
    </xf>
    <xf numFmtId="0" fontId="5" fillId="3" borderId="7" xfId="0" applyFont="1" applyFill="1" applyBorder="1"/>
    <xf numFmtId="0" fontId="5" fillId="3" borderId="14" xfId="0" applyFont="1" applyFill="1" applyBorder="1"/>
    <xf numFmtId="0" fontId="5" fillId="3" borderId="7" xfId="0" applyFont="1" applyFill="1" applyBorder="1" applyAlignment="1">
      <alignment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vertical="center"/>
    </xf>
    <xf numFmtId="0" fontId="12" fillId="6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11" fillId="0" borderId="10" xfId="0" applyFont="1" applyBorder="1" applyAlignment="1"/>
    <xf numFmtId="0" fontId="11" fillId="0" borderId="11" xfId="0" applyFont="1" applyBorder="1" applyAlignment="1"/>
    <xf numFmtId="0" fontId="5" fillId="5" borderId="9" xfId="0" applyFont="1" applyFill="1" applyBorder="1" applyAlignment="1">
      <alignment horizontal="center" vertical="center"/>
    </xf>
    <xf numFmtId="0" fontId="11" fillId="0" borderId="12" xfId="0" applyFont="1" applyBorder="1" applyAlignment="1"/>
    <xf numFmtId="0" fontId="11" fillId="0" borderId="13" xfId="0" applyFont="1" applyBorder="1" applyAlignment="1"/>
    <xf numFmtId="0" fontId="11" fillId="0" borderId="14" xfId="0" applyFont="1" applyBorder="1" applyAlignment="1"/>
    <xf numFmtId="0" fontId="5" fillId="0" borderId="0" xfId="0" applyFont="1" applyAlignment="1"/>
    <xf numFmtId="0" fontId="11" fillId="0" borderId="15" xfId="0" applyFont="1" applyBorder="1" applyAlignment="1"/>
    <xf numFmtId="0" fontId="11" fillId="0" borderId="22" xfId="0" applyFont="1" applyBorder="1" applyAlignment="1"/>
    <xf numFmtId="0" fontId="11" fillId="0" borderId="24" xfId="0" applyFont="1" applyBorder="1" applyAlignment="1"/>
    <xf numFmtId="0" fontId="11" fillId="0" borderId="23" xfId="0" applyFont="1" applyBorder="1" applyAlignment="1"/>
    <xf numFmtId="0" fontId="11" fillId="0" borderId="17" xfId="0" applyFont="1" applyBorder="1" applyAlignment="1"/>
    <xf numFmtId="0" fontId="11" fillId="0" borderId="18" xfId="0" applyFont="1" applyBorder="1" applyAlignment="1"/>
    <xf numFmtId="0" fontId="11" fillId="0" borderId="19" xfId="0" applyFont="1" applyBorder="1" applyAlignment="1"/>
    <xf numFmtId="0" fontId="11" fillId="0" borderId="20" xfId="0" applyFont="1" applyBorder="1" applyAlignment="1"/>
    <xf numFmtId="0" fontId="11" fillId="0" borderId="21" xfId="0" applyFont="1" applyBorder="1" applyAlignment="1"/>
    <xf numFmtId="0" fontId="12" fillId="4" borderId="9" xfId="0" applyFont="1" applyFill="1" applyBorder="1" applyAlignment="1">
      <alignment horizontal="center" vertical="center"/>
    </xf>
    <xf numFmtId="0" fontId="5" fillId="3" borderId="22" xfId="0" applyFont="1" applyFill="1" applyBorder="1"/>
    <xf numFmtId="0" fontId="5" fillId="3" borderId="23" xfId="0" applyFont="1" applyFill="1" applyBorder="1"/>
    <xf numFmtId="0" fontId="5" fillId="3" borderId="24" xfId="0" applyFont="1" applyFill="1" applyBorder="1"/>
    <xf numFmtId="0" fontId="11" fillId="0" borderId="11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5" fillId="0" borderId="0" xfId="0" applyFont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353042</xdr:colOff>
      <xdr:row>8</xdr:row>
      <xdr:rowOff>301625</xdr:rowOff>
    </xdr:from>
    <xdr:to>
      <xdr:col>14</xdr:col>
      <xdr:colOff>571500</xdr:colOff>
      <xdr:row>12</xdr:row>
      <xdr:rowOff>176630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56C37AA-0864-4A01-9518-B92C1820A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71730" y="1254125"/>
          <a:ext cx="1028083" cy="1145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9"/>
  <sheetViews>
    <sheetView showGridLines="0" topLeftCell="A7" zoomScale="85" zoomScaleNormal="85" workbookViewId="0">
      <selection activeCell="O8" sqref="O8"/>
    </sheetView>
  </sheetViews>
  <sheetFormatPr baseColWidth="10" defaultColWidth="12.625" defaultRowHeight="15" customHeight="1" x14ac:dyDescent="0.2"/>
  <cols>
    <col min="1" max="1" width="4.625" customWidth="1"/>
    <col min="2" max="2" width="8.125" customWidth="1"/>
    <col min="3" max="5" width="20.625" customWidth="1"/>
    <col min="6" max="6" width="10.625" customWidth="1"/>
    <col min="7" max="7" width="32.5" customWidth="1"/>
    <col min="8" max="12" width="10.625" customWidth="1"/>
    <col min="13" max="13" width="32.5" customWidth="1"/>
    <col min="14" max="15" width="20.625" customWidth="1"/>
    <col min="16" max="26" width="9.375" customWidth="1"/>
  </cols>
  <sheetData>
    <row r="1" spans="1:26" ht="15.75" x14ac:dyDescent="0.25">
      <c r="A1" s="18"/>
      <c r="B1" s="18"/>
      <c r="C1" s="18"/>
      <c r="D1" s="18"/>
      <c r="E1" s="18"/>
      <c r="F1" s="18"/>
      <c r="G1" s="18"/>
      <c r="H1" s="18"/>
      <c r="I1" s="19"/>
      <c r="J1" s="19"/>
      <c r="K1" s="20"/>
      <c r="L1" s="19"/>
      <c r="M1" s="18"/>
      <c r="N1" s="18"/>
      <c r="O1" s="18"/>
    </row>
    <row r="2" spans="1:26" ht="15.75" x14ac:dyDescent="0.25">
      <c r="A2" s="18"/>
      <c r="B2" s="18"/>
      <c r="C2" s="18"/>
      <c r="D2" s="18"/>
      <c r="E2" s="18"/>
      <c r="F2" s="18"/>
      <c r="G2" s="18"/>
      <c r="H2" s="18"/>
      <c r="I2" s="19"/>
      <c r="J2" s="19"/>
      <c r="K2" s="20"/>
      <c r="L2" s="19"/>
      <c r="M2" s="18"/>
      <c r="N2" s="18"/>
      <c r="O2" s="18"/>
    </row>
    <row r="3" spans="1:26" ht="45" customHeight="1" x14ac:dyDescent="0.25">
      <c r="A3" s="18"/>
      <c r="B3" s="21" t="s">
        <v>0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</row>
    <row r="4" spans="1:26" ht="5.25" customHeight="1" x14ac:dyDescent="0.25">
      <c r="A4" s="18"/>
      <c r="B4" s="18"/>
      <c r="C4" s="18"/>
      <c r="D4" s="18"/>
      <c r="E4" s="18"/>
      <c r="F4" s="18"/>
      <c r="G4" s="18"/>
      <c r="H4" s="18"/>
      <c r="I4" s="19"/>
      <c r="J4" s="19"/>
      <c r="K4" s="20"/>
      <c r="L4" s="19"/>
      <c r="M4" s="18"/>
      <c r="N4" s="18"/>
      <c r="O4" s="18"/>
    </row>
    <row r="5" spans="1:26" ht="78.75" customHeight="1" x14ac:dyDescent="0.25">
      <c r="A5" s="18"/>
      <c r="B5" s="23" t="s">
        <v>1</v>
      </c>
      <c r="C5" s="23" t="s">
        <v>2</v>
      </c>
      <c r="D5" s="24" t="s">
        <v>3</v>
      </c>
      <c r="E5" s="23" t="s">
        <v>4</v>
      </c>
      <c r="F5" s="23" t="s">
        <v>5</v>
      </c>
      <c r="G5" s="23" t="s">
        <v>6</v>
      </c>
      <c r="H5" s="23" t="s">
        <v>7</v>
      </c>
      <c r="I5" s="23" t="s">
        <v>8</v>
      </c>
      <c r="J5" s="23" t="s">
        <v>9</v>
      </c>
      <c r="K5" s="23" t="s">
        <v>10</v>
      </c>
      <c r="L5" s="23" t="s">
        <v>11</v>
      </c>
      <c r="M5" s="23" t="s">
        <v>12</v>
      </c>
      <c r="N5" s="23" t="s">
        <v>13</v>
      </c>
      <c r="O5" s="23" t="s">
        <v>14</v>
      </c>
    </row>
    <row r="6" spans="1:26" ht="72" customHeight="1" x14ac:dyDescent="0.25">
      <c r="A6" s="18"/>
      <c r="B6" s="12" t="s">
        <v>15</v>
      </c>
      <c r="C6" s="13" t="s">
        <v>32</v>
      </c>
      <c r="D6" s="13" t="s">
        <v>33</v>
      </c>
      <c r="E6" s="13" t="s">
        <v>34</v>
      </c>
      <c r="F6" s="14" t="s">
        <v>35</v>
      </c>
      <c r="G6" s="13" t="s">
        <v>36</v>
      </c>
      <c r="H6" s="14" t="s">
        <v>37</v>
      </c>
      <c r="I6" s="14">
        <v>1</v>
      </c>
      <c r="J6" s="15">
        <v>46211</v>
      </c>
      <c r="K6" s="14" t="s">
        <v>18</v>
      </c>
      <c r="L6" s="14" t="s">
        <v>17</v>
      </c>
      <c r="M6" s="13" t="s">
        <v>38</v>
      </c>
      <c r="N6" s="13" t="s">
        <v>39</v>
      </c>
      <c r="O6" s="16" t="s">
        <v>40</v>
      </c>
    </row>
    <row r="7" spans="1:26" ht="103.5" customHeight="1" x14ac:dyDescent="0.25">
      <c r="A7" s="18"/>
      <c r="B7" s="12" t="s">
        <v>41</v>
      </c>
      <c r="C7" s="14" t="s">
        <v>42</v>
      </c>
      <c r="D7" s="14" t="s">
        <v>43</v>
      </c>
      <c r="E7" s="14" t="s">
        <v>44</v>
      </c>
      <c r="F7" s="14" t="s">
        <v>35</v>
      </c>
      <c r="G7" s="14" t="s">
        <v>45</v>
      </c>
      <c r="H7" s="14" t="s">
        <v>37</v>
      </c>
      <c r="I7" s="14">
        <v>1</v>
      </c>
      <c r="J7" s="15">
        <v>46211</v>
      </c>
      <c r="K7" s="14" t="s">
        <v>18</v>
      </c>
      <c r="L7" s="14" t="s">
        <v>17</v>
      </c>
      <c r="M7" s="14" t="s">
        <v>46</v>
      </c>
      <c r="N7" s="14" t="s">
        <v>47</v>
      </c>
      <c r="O7" s="14" t="s">
        <v>48</v>
      </c>
    </row>
    <row r="8" spans="1:26" ht="99.75" customHeight="1" x14ac:dyDescent="0.2">
      <c r="A8" s="25"/>
      <c r="B8" s="12" t="s">
        <v>49</v>
      </c>
      <c r="C8" s="14" t="s">
        <v>50</v>
      </c>
      <c r="D8" s="14" t="s">
        <v>51</v>
      </c>
      <c r="E8" s="14" t="s">
        <v>52</v>
      </c>
      <c r="F8" s="14" t="s">
        <v>35</v>
      </c>
      <c r="G8" s="14" t="s">
        <v>53</v>
      </c>
      <c r="H8" s="14" t="s">
        <v>54</v>
      </c>
      <c r="I8" s="14">
        <v>1</v>
      </c>
      <c r="J8" s="15">
        <v>46211</v>
      </c>
      <c r="K8" s="14" t="s">
        <v>18</v>
      </c>
      <c r="L8" s="14" t="s">
        <v>17</v>
      </c>
      <c r="M8" s="14" t="s">
        <v>55</v>
      </c>
      <c r="N8" s="14" t="s">
        <v>47</v>
      </c>
      <c r="O8" s="14" t="s">
        <v>56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78" customHeight="1" x14ac:dyDescent="0.25">
      <c r="A9" s="18"/>
      <c r="B9" s="12" t="s">
        <v>57</v>
      </c>
      <c r="C9" s="14" t="s">
        <v>58</v>
      </c>
      <c r="D9" s="14" t="s">
        <v>59</v>
      </c>
      <c r="E9" s="14" t="s">
        <v>60</v>
      </c>
      <c r="F9" s="14" t="s">
        <v>35</v>
      </c>
      <c r="G9" s="17" t="s">
        <v>61</v>
      </c>
      <c r="H9" s="14" t="s">
        <v>62</v>
      </c>
      <c r="I9" s="14">
        <v>1</v>
      </c>
      <c r="J9" s="15">
        <v>46211</v>
      </c>
      <c r="K9" s="14" t="s">
        <v>18</v>
      </c>
      <c r="L9" s="14" t="s">
        <v>17</v>
      </c>
      <c r="M9" s="14" t="s">
        <v>63</v>
      </c>
      <c r="N9" s="14" t="s">
        <v>47</v>
      </c>
      <c r="O9" s="14" t="s">
        <v>64</v>
      </c>
    </row>
    <row r="10" spans="1:26" ht="78" customHeight="1" x14ac:dyDescent="0.25">
      <c r="A10" s="18"/>
      <c r="B10" s="12" t="s">
        <v>65</v>
      </c>
      <c r="C10" s="13" t="s">
        <v>66</v>
      </c>
      <c r="D10" s="13" t="s">
        <v>67</v>
      </c>
      <c r="E10" s="13" t="s">
        <v>68</v>
      </c>
      <c r="F10" s="14" t="s">
        <v>35</v>
      </c>
      <c r="G10" s="13" t="s">
        <v>69</v>
      </c>
      <c r="H10" s="14" t="s">
        <v>54</v>
      </c>
      <c r="I10" s="14">
        <v>1</v>
      </c>
      <c r="J10" s="15">
        <v>46211</v>
      </c>
      <c r="K10" s="14" t="s">
        <v>18</v>
      </c>
      <c r="L10" s="14" t="s">
        <v>17</v>
      </c>
      <c r="M10" s="13" t="s">
        <v>70</v>
      </c>
      <c r="N10" s="13" t="s">
        <v>71</v>
      </c>
      <c r="O10" s="13" t="s">
        <v>72</v>
      </c>
    </row>
    <row r="11" spans="1:26" ht="66" customHeight="1" x14ac:dyDescent="0.25">
      <c r="A11" s="18"/>
      <c r="B11" s="12" t="s">
        <v>73</v>
      </c>
      <c r="C11" s="13" t="s">
        <v>74</v>
      </c>
      <c r="D11" s="13" t="s">
        <v>75</v>
      </c>
      <c r="E11" s="13" t="s">
        <v>76</v>
      </c>
      <c r="F11" s="14" t="s">
        <v>35</v>
      </c>
      <c r="G11" s="13" t="s">
        <v>77</v>
      </c>
      <c r="H11" s="14" t="s">
        <v>62</v>
      </c>
      <c r="I11" s="14">
        <v>1</v>
      </c>
      <c r="J11" s="15">
        <v>46211</v>
      </c>
      <c r="K11" s="14" t="s">
        <v>18</v>
      </c>
      <c r="L11" s="14" t="s">
        <v>78</v>
      </c>
      <c r="M11" s="13" t="s">
        <v>79</v>
      </c>
      <c r="N11" s="13" t="s">
        <v>80</v>
      </c>
      <c r="O11" s="13" t="s">
        <v>81</v>
      </c>
      <c r="P11" s="10"/>
    </row>
    <row r="12" spans="1:26" ht="99.75" customHeight="1" x14ac:dyDescent="0.25">
      <c r="A12" s="18"/>
      <c r="B12" s="26"/>
      <c r="C12" s="14"/>
      <c r="D12" s="14"/>
      <c r="E12" s="14"/>
      <c r="F12" s="14"/>
      <c r="G12" s="14"/>
      <c r="H12" s="14"/>
      <c r="I12" s="14"/>
      <c r="J12" s="15"/>
      <c r="K12" s="27"/>
      <c r="L12" s="14"/>
      <c r="M12" s="14"/>
      <c r="N12" s="14"/>
      <c r="O12" s="14"/>
    </row>
    <row r="13" spans="1:26" ht="72" customHeight="1" x14ac:dyDescent="0.2">
      <c r="B13" s="11"/>
    </row>
    <row r="14" spans="1:26" ht="65.25" customHeight="1" x14ac:dyDescent="0.2">
      <c r="I14" s="1"/>
      <c r="J14" s="1"/>
      <c r="K14" s="7"/>
      <c r="L14" s="3"/>
    </row>
    <row r="15" spans="1:26" ht="64.5" customHeight="1" x14ac:dyDescent="0.2">
      <c r="I15" s="1"/>
      <c r="J15" s="1"/>
      <c r="K15" s="7"/>
      <c r="L15" s="3"/>
    </row>
    <row r="16" spans="1:26" ht="39.75" customHeight="1" x14ac:dyDescent="0.25">
      <c r="I16" s="1"/>
      <c r="J16" s="1"/>
      <c r="K16" s="2"/>
      <c r="L16" s="3"/>
    </row>
    <row r="17" spans="9:13" ht="39.75" customHeight="1" x14ac:dyDescent="0.25">
      <c r="I17" s="1"/>
      <c r="J17" s="1"/>
      <c r="K17" s="2"/>
      <c r="L17" s="3"/>
    </row>
    <row r="18" spans="9:13" ht="39.75" customHeight="1" x14ac:dyDescent="0.25">
      <c r="I18" s="1"/>
      <c r="J18" s="1"/>
      <c r="K18" s="2"/>
      <c r="L18" s="3"/>
    </row>
    <row r="19" spans="9:13" ht="19.5" customHeight="1" x14ac:dyDescent="0.25">
      <c r="I19" s="1"/>
      <c r="J19" s="1"/>
      <c r="K19" s="8" t="s">
        <v>18</v>
      </c>
      <c r="L19" s="9" t="s">
        <v>19</v>
      </c>
      <c r="M19" s="4"/>
    </row>
    <row r="20" spans="9:13" ht="19.5" customHeight="1" x14ac:dyDescent="0.25">
      <c r="I20" s="1"/>
      <c r="J20" s="1"/>
      <c r="K20" s="8" t="s">
        <v>16</v>
      </c>
      <c r="L20" s="9" t="s">
        <v>20</v>
      </c>
      <c r="M20" s="4"/>
    </row>
    <row r="21" spans="9:13" ht="19.5" customHeight="1" x14ac:dyDescent="0.25">
      <c r="I21" s="1"/>
      <c r="J21" s="1"/>
      <c r="K21" s="8" t="s">
        <v>21</v>
      </c>
      <c r="L21" s="9" t="s">
        <v>17</v>
      </c>
      <c r="M21" s="4"/>
    </row>
    <row r="22" spans="9:13" ht="19.5" customHeight="1" x14ac:dyDescent="0.25">
      <c r="I22" s="1"/>
      <c r="J22" s="1"/>
      <c r="K22" s="8"/>
      <c r="L22" s="9" t="s">
        <v>22</v>
      </c>
      <c r="M22" s="4"/>
    </row>
    <row r="23" spans="9:13" ht="19.5" customHeight="1" x14ac:dyDescent="0.25">
      <c r="I23" s="1"/>
      <c r="J23" s="1"/>
      <c r="K23" s="2"/>
      <c r="L23" s="3"/>
    </row>
    <row r="24" spans="9:13" ht="19.5" customHeight="1" x14ac:dyDescent="0.25">
      <c r="I24" s="1"/>
      <c r="J24" s="1"/>
      <c r="K24" s="2"/>
      <c r="L24" s="3"/>
    </row>
    <row r="25" spans="9:13" ht="19.5" customHeight="1" x14ac:dyDescent="0.25">
      <c r="I25" s="1"/>
      <c r="J25" s="1"/>
      <c r="K25" s="2"/>
      <c r="L25" s="3"/>
    </row>
    <row r="26" spans="9:13" ht="19.5" customHeight="1" x14ac:dyDescent="0.25">
      <c r="I26" s="1"/>
      <c r="J26" s="1"/>
      <c r="K26" s="2"/>
      <c r="L26" s="3"/>
    </row>
    <row r="27" spans="9:13" ht="19.5" customHeight="1" x14ac:dyDescent="0.25">
      <c r="I27" s="1"/>
      <c r="J27" s="1"/>
      <c r="K27" s="2"/>
      <c r="L27" s="3"/>
    </row>
    <row r="28" spans="9:13" ht="19.5" customHeight="1" x14ac:dyDescent="0.25">
      <c r="I28" s="1"/>
      <c r="J28" s="1"/>
      <c r="K28" s="2"/>
      <c r="L28" s="3"/>
    </row>
    <row r="29" spans="9:13" ht="19.5" customHeight="1" x14ac:dyDescent="0.25">
      <c r="I29" s="1"/>
      <c r="J29" s="1"/>
      <c r="K29" s="2"/>
      <c r="L29" s="3"/>
    </row>
    <row r="30" spans="9:13" ht="19.5" customHeight="1" x14ac:dyDescent="0.25">
      <c r="I30" s="1"/>
      <c r="J30" s="1"/>
      <c r="K30" s="2"/>
      <c r="L30" s="3"/>
    </row>
    <row r="31" spans="9:13" ht="19.5" customHeight="1" x14ac:dyDescent="0.25">
      <c r="I31" s="1"/>
      <c r="J31" s="1"/>
      <c r="K31" s="2"/>
      <c r="L31" s="3"/>
    </row>
    <row r="32" spans="9:13" ht="19.5" customHeight="1" x14ac:dyDescent="0.25">
      <c r="I32" s="1"/>
      <c r="J32" s="1"/>
      <c r="K32" s="2"/>
      <c r="L32" s="3"/>
    </row>
    <row r="33" spans="9:12" ht="19.5" customHeight="1" x14ac:dyDescent="0.25">
      <c r="I33" s="1"/>
      <c r="J33" s="1"/>
      <c r="K33" s="2"/>
      <c r="L33" s="3"/>
    </row>
    <row r="34" spans="9:12" ht="15.75" customHeight="1" x14ac:dyDescent="0.25">
      <c r="I34" s="1"/>
      <c r="J34" s="1"/>
      <c r="K34" s="2"/>
      <c r="L34" s="3"/>
    </row>
    <row r="35" spans="9:12" ht="15.75" customHeight="1" x14ac:dyDescent="0.25">
      <c r="I35" s="1"/>
      <c r="J35" s="1"/>
      <c r="K35" s="2"/>
      <c r="L35" s="3"/>
    </row>
    <row r="36" spans="9:12" ht="15.75" customHeight="1" x14ac:dyDescent="0.25">
      <c r="I36" s="1"/>
      <c r="J36" s="1"/>
      <c r="K36" s="2"/>
      <c r="L36" s="3"/>
    </row>
    <row r="37" spans="9:12" ht="15.75" customHeight="1" x14ac:dyDescent="0.25">
      <c r="I37" s="1"/>
      <c r="J37" s="1"/>
      <c r="K37" s="2"/>
      <c r="L37" s="3"/>
    </row>
    <row r="38" spans="9:12" ht="15.75" customHeight="1" x14ac:dyDescent="0.25">
      <c r="I38" s="1"/>
      <c r="J38" s="1"/>
      <c r="K38" s="2"/>
      <c r="L38" s="3"/>
    </row>
    <row r="39" spans="9:12" ht="15.75" customHeight="1" x14ac:dyDescent="0.25">
      <c r="I39" s="1"/>
      <c r="J39" s="1"/>
      <c r="K39" s="2"/>
      <c r="L39" s="3"/>
    </row>
    <row r="40" spans="9:12" ht="15.75" customHeight="1" x14ac:dyDescent="0.25">
      <c r="I40" s="1"/>
      <c r="J40" s="1"/>
      <c r="K40" s="2"/>
      <c r="L40" s="3"/>
    </row>
    <row r="41" spans="9:12" ht="15.75" customHeight="1" x14ac:dyDescent="0.25">
      <c r="I41" s="1"/>
      <c r="J41" s="1"/>
      <c r="K41" s="2"/>
      <c r="L41" s="3"/>
    </row>
    <row r="42" spans="9:12" ht="15.75" customHeight="1" x14ac:dyDescent="0.25">
      <c r="I42" s="1"/>
      <c r="J42" s="1"/>
      <c r="K42" s="2"/>
      <c r="L42" s="3"/>
    </row>
    <row r="43" spans="9:12" ht="15.75" customHeight="1" x14ac:dyDescent="0.25">
      <c r="I43" s="1"/>
      <c r="J43" s="1"/>
      <c r="K43" s="2"/>
      <c r="L43" s="3"/>
    </row>
    <row r="44" spans="9:12" ht="15.75" customHeight="1" x14ac:dyDescent="0.25">
      <c r="I44" s="1"/>
      <c r="J44" s="1"/>
      <c r="K44" s="2"/>
      <c r="L44" s="3"/>
    </row>
    <row r="45" spans="9:12" ht="15.75" customHeight="1" x14ac:dyDescent="0.25">
      <c r="I45" s="1"/>
      <c r="J45" s="1"/>
      <c r="K45" s="2"/>
      <c r="L45" s="3"/>
    </row>
    <row r="46" spans="9:12" ht="15.75" customHeight="1" x14ac:dyDescent="0.25">
      <c r="I46" s="1"/>
      <c r="J46" s="1"/>
      <c r="K46" s="2"/>
      <c r="L46" s="3"/>
    </row>
    <row r="47" spans="9:12" ht="15.75" customHeight="1" x14ac:dyDescent="0.25">
      <c r="I47" s="1"/>
      <c r="J47" s="1"/>
      <c r="K47" s="2"/>
      <c r="L47" s="3"/>
    </row>
    <row r="48" spans="9:12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5">
      <c r="I988" s="1"/>
      <c r="J988" s="1"/>
      <c r="K988" s="2"/>
      <c r="L988" s="3"/>
    </row>
    <row r="989" spans="9:12" ht="15.75" customHeight="1" x14ac:dyDescent="0.2">
      <c r="I989" s="3"/>
      <c r="J989" s="3"/>
      <c r="K989" s="6"/>
      <c r="L989" s="3"/>
    </row>
    <row r="990" spans="9:12" ht="15.75" customHeight="1" x14ac:dyDescent="0.2">
      <c r="I990" s="3"/>
      <c r="J990" s="3"/>
      <c r="K990" s="6"/>
      <c r="L990" s="3"/>
    </row>
    <row r="991" spans="9:12" ht="15.75" customHeight="1" x14ac:dyDescent="0.2"/>
    <row r="992" spans="9:1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B3:O3"/>
  </mergeCells>
  <phoneticPr fontId="3" type="noConversion"/>
  <dataValidations count="4">
    <dataValidation type="list" allowBlank="1" showErrorMessage="1" sqref="L12" xr:uid="{00000000-0002-0000-0000-000000000000}">
      <formula1>$L$19:$L$22</formula1>
    </dataValidation>
    <dataValidation type="list" allowBlank="1" showErrorMessage="1" sqref="K12" xr:uid="{00000000-0002-0000-0000-000001000000}">
      <formula1>$K$19:$K$21</formula1>
    </dataValidation>
    <dataValidation type="list" allowBlank="1" showErrorMessage="1" sqref="K6:K11" xr:uid="{63DF82ED-4091-4ED4-94CB-6E3D786ECFDD}">
      <formula1>$K$18:$K$20</formula1>
    </dataValidation>
    <dataValidation type="list" allowBlank="1" showErrorMessage="1" sqref="L6:L11" xr:uid="{87C9CCB9-F9E7-4435-8A78-22CEE16DB5E3}">
      <formula1>$L$18:$L$21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1020"/>
  <sheetViews>
    <sheetView showGridLines="0" tabSelected="1" zoomScale="120" zoomScaleNormal="12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1" spans="1:16" ht="1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5" hidden="1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15" hidden="1" customHeight="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ht="15.75" hidden="1" x14ac:dyDescent="0.25">
      <c r="A4" s="18"/>
      <c r="B4" s="18"/>
      <c r="C4" s="32"/>
      <c r="D4" s="32"/>
      <c r="E4" s="32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ht="15.75" hidden="1" x14ac:dyDescent="0.25">
      <c r="A5" s="18"/>
      <c r="B5" s="18"/>
      <c r="C5" s="32"/>
      <c r="D5" s="32"/>
      <c r="E5" s="32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ht="39.75" customHeight="1" x14ac:dyDescent="0.25">
      <c r="A6" s="18"/>
      <c r="B6" s="33" t="s">
        <v>23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5"/>
    </row>
    <row r="7" spans="1:16" ht="9.75" customHeight="1" x14ac:dyDescent="0.25">
      <c r="A7" s="18"/>
      <c r="B7" s="18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18"/>
    </row>
    <row r="8" spans="1:16" ht="9.75" customHeight="1" x14ac:dyDescent="0.25">
      <c r="A8" s="18"/>
      <c r="B8" s="37"/>
      <c r="C8" s="38"/>
      <c r="D8" s="38"/>
      <c r="E8" s="38"/>
      <c r="F8" s="39"/>
      <c r="G8" s="39"/>
      <c r="H8" s="39"/>
      <c r="I8" s="39"/>
      <c r="J8" s="39"/>
      <c r="K8" s="39"/>
      <c r="L8" s="39"/>
      <c r="M8" s="39"/>
      <c r="N8" s="39"/>
      <c r="O8" s="39"/>
      <c r="P8" s="40"/>
    </row>
    <row r="9" spans="1:16" ht="30" customHeight="1" x14ac:dyDescent="0.25">
      <c r="A9" s="18"/>
      <c r="B9" s="41"/>
      <c r="C9" s="42" t="s">
        <v>1</v>
      </c>
      <c r="D9" s="43"/>
      <c r="E9" s="44" t="s">
        <v>24</v>
      </c>
      <c r="F9" s="35"/>
      <c r="G9" s="43"/>
      <c r="H9" s="44" t="s">
        <v>11</v>
      </c>
      <c r="I9" s="35"/>
      <c r="J9" s="45"/>
      <c r="K9" s="45"/>
      <c r="L9" s="45"/>
      <c r="M9" s="45"/>
      <c r="N9" s="45"/>
      <c r="O9" s="45"/>
      <c r="P9" s="46"/>
    </row>
    <row r="10" spans="1:16" ht="30" customHeight="1" x14ac:dyDescent="0.25">
      <c r="A10" s="18"/>
      <c r="B10" s="41"/>
      <c r="C10" s="28" t="s">
        <v>57</v>
      </c>
      <c r="D10" s="47"/>
      <c r="E10" s="48" t="str">
        <f>VLOOKUP(C10,'Formato descripción HU'!B6:O15,5,0)</f>
        <v>Alex Chuquimarca</v>
      </c>
      <c r="F10" s="35"/>
      <c r="G10" s="49"/>
      <c r="H10" s="48" t="str">
        <f>VLOOKUP(C10,'Formato descripción HU'!B6:O15,11,0)</f>
        <v>Terminado</v>
      </c>
      <c r="I10" s="35"/>
      <c r="J10" s="49"/>
      <c r="K10" s="45"/>
      <c r="L10" s="45"/>
      <c r="M10" s="45"/>
      <c r="N10" s="45"/>
      <c r="O10" s="45"/>
      <c r="P10" s="46"/>
    </row>
    <row r="11" spans="1:16" ht="9.75" customHeight="1" x14ac:dyDescent="0.25">
      <c r="A11" s="18"/>
      <c r="B11" s="41"/>
      <c r="C11" s="29"/>
      <c r="D11" s="47"/>
      <c r="E11" s="29"/>
      <c r="F11" s="29"/>
      <c r="G11" s="49"/>
      <c r="H11" s="29"/>
      <c r="I11" s="29"/>
      <c r="J11" s="49"/>
      <c r="K11" s="29"/>
      <c r="L11" s="29"/>
      <c r="M11" s="45"/>
      <c r="N11" s="29"/>
      <c r="O11" s="29"/>
      <c r="P11" s="46"/>
    </row>
    <row r="12" spans="1:16" ht="30" customHeight="1" x14ac:dyDescent="0.25">
      <c r="A12" s="18"/>
      <c r="B12" s="41"/>
      <c r="C12" s="42" t="s">
        <v>25</v>
      </c>
      <c r="D12" s="47"/>
      <c r="E12" s="44" t="s">
        <v>10</v>
      </c>
      <c r="F12" s="35"/>
      <c r="G12" s="49"/>
      <c r="H12" s="44" t="s">
        <v>26</v>
      </c>
      <c r="I12" s="35"/>
      <c r="J12" s="49"/>
      <c r="K12" s="29"/>
      <c r="L12" s="29"/>
      <c r="M12" s="45"/>
      <c r="N12" s="29"/>
      <c r="O12" s="29"/>
      <c r="P12" s="46"/>
    </row>
    <row r="13" spans="1:16" ht="30" customHeight="1" x14ac:dyDescent="0.25">
      <c r="A13" s="18"/>
      <c r="B13" s="41"/>
      <c r="C13" s="28">
        <f>VLOOKUP('Historia de Usuario'!C10,'Formato descripción HU'!B6:O15,8,0)</f>
        <v>1</v>
      </c>
      <c r="D13" s="47"/>
      <c r="E13" s="48" t="str">
        <f>VLOOKUP(C10,'Formato descripción HU'!B6:O15,10,0)</f>
        <v>Alta</v>
      </c>
      <c r="F13" s="35"/>
      <c r="G13" s="49"/>
      <c r="H13" s="48" t="str">
        <f>VLOOKUP(C10,'Formato descripción HU'!B6:O15,7,0)</f>
        <v xml:space="preserve">Francisco Comina </v>
      </c>
      <c r="I13" s="35"/>
      <c r="J13" s="49"/>
      <c r="K13" s="29"/>
      <c r="L13" s="29"/>
      <c r="M13" s="45"/>
      <c r="N13" s="29"/>
      <c r="O13" s="29"/>
      <c r="P13" s="46"/>
    </row>
    <row r="14" spans="1:16" ht="9.75" customHeight="1" x14ac:dyDescent="0.25">
      <c r="A14" s="18"/>
      <c r="B14" s="41"/>
      <c r="C14" s="45"/>
      <c r="D14" s="47"/>
      <c r="E14" s="45"/>
      <c r="F14" s="45"/>
      <c r="G14" s="49"/>
      <c r="H14" s="49"/>
      <c r="I14" s="45"/>
      <c r="J14" s="45"/>
      <c r="K14" s="45"/>
      <c r="L14" s="45"/>
      <c r="M14" s="45"/>
      <c r="N14" s="45"/>
      <c r="O14" s="45"/>
      <c r="P14" s="46"/>
    </row>
    <row r="15" spans="1:16" ht="19.5" customHeight="1" x14ac:dyDescent="0.25">
      <c r="A15" s="18"/>
      <c r="B15" s="41"/>
      <c r="C15" s="50" t="s">
        <v>27</v>
      </c>
      <c r="D15" s="51" t="str">
        <f>VLOOKUP(C10,'Formato descripción HU'!B6:O15,3,0)</f>
        <v xml:space="preserve">Lectura correcta de la información ingresado por teclado </v>
      </c>
      <c r="E15" s="52"/>
      <c r="F15" s="45"/>
      <c r="G15" s="50" t="s">
        <v>28</v>
      </c>
      <c r="H15" s="51" t="str">
        <f>VLOOKUP(C10,'Formato descripción HU'!B6:O15,4,0)</f>
        <v xml:space="preserve">Para el correcto analisis de la informacion de las personas autorizadas  </v>
      </c>
      <c r="I15" s="53"/>
      <c r="J15" s="52"/>
      <c r="K15" s="45"/>
      <c r="L15" s="50" t="s">
        <v>29</v>
      </c>
      <c r="M15" s="51" t="str">
        <f>VLOOKUP(C10,'Formato descripción HU'!B6:O15,6,0)</f>
        <v xml:space="preserve">1. programando mediante  la aplicación del codeblocks </v>
      </c>
      <c r="N15" s="72"/>
      <c r="O15" s="73"/>
      <c r="P15" s="46"/>
    </row>
    <row r="16" spans="1:16" ht="19.5" customHeight="1" x14ac:dyDescent="0.25">
      <c r="A16" s="18"/>
      <c r="B16" s="41"/>
      <c r="C16" s="55"/>
      <c r="D16" s="56"/>
      <c r="E16" s="57"/>
      <c r="F16" s="45"/>
      <c r="G16" s="55"/>
      <c r="H16" s="56"/>
      <c r="I16" s="58"/>
      <c r="J16" s="57"/>
      <c r="K16" s="45"/>
      <c r="L16" s="55"/>
      <c r="M16" s="74"/>
      <c r="N16" s="75"/>
      <c r="O16" s="76"/>
      <c r="P16" s="46"/>
    </row>
    <row r="17" spans="1:16" ht="19.5" customHeight="1" x14ac:dyDescent="0.25">
      <c r="A17" s="18"/>
      <c r="B17" s="41"/>
      <c r="C17" s="59"/>
      <c r="D17" s="60"/>
      <c r="E17" s="61"/>
      <c r="F17" s="45"/>
      <c r="G17" s="59"/>
      <c r="H17" s="60"/>
      <c r="I17" s="62"/>
      <c r="J17" s="61"/>
      <c r="K17" s="45"/>
      <c r="L17" s="59"/>
      <c r="M17" s="77"/>
      <c r="N17" s="78"/>
      <c r="O17" s="79"/>
      <c r="P17" s="46"/>
    </row>
    <row r="18" spans="1:16" ht="9.75" customHeight="1" x14ac:dyDescent="0.25">
      <c r="A18" s="18"/>
      <c r="B18" s="41"/>
      <c r="C18" s="45"/>
      <c r="D18" s="45"/>
      <c r="E18" s="45"/>
      <c r="F18" s="45"/>
      <c r="G18" s="49"/>
      <c r="H18" s="49"/>
      <c r="I18" s="49"/>
      <c r="J18" s="45"/>
      <c r="K18" s="45"/>
      <c r="L18" s="45"/>
      <c r="M18" s="45"/>
      <c r="N18" s="45"/>
      <c r="O18" s="45"/>
      <c r="P18" s="46"/>
    </row>
    <row r="19" spans="1:16" ht="19.5" customHeight="1" x14ac:dyDescent="0.25">
      <c r="A19" s="18"/>
      <c r="B19" s="41"/>
      <c r="C19" s="30" t="s">
        <v>30</v>
      </c>
      <c r="D19" s="52"/>
      <c r="E19" s="31" t="str">
        <f>VLOOKUP(C10,'Formato descripción HU'!B6:O15,14,0)</f>
        <v>Visualizacion de datos del usuario.</v>
      </c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46"/>
    </row>
    <row r="20" spans="1:16" ht="19.5" customHeight="1" x14ac:dyDescent="0.25">
      <c r="A20" s="18"/>
      <c r="B20" s="41"/>
      <c r="C20" s="60"/>
      <c r="D20" s="61"/>
      <c r="E20" s="65"/>
      <c r="F20" s="66"/>
      <c r="G20" s="66"/>
      <c r="H20" s="66"/>
      <c r="I20" s="66"/>
      <c r="J20" s="66"/>
      <c r="K20" s="66"/>
      <c r="L20" s="66"/>
      <c r="M20" s="66"/>
      <c r="N20" s="66"/>
      <c r="O20" s="67"/>
      <c r="P20" s="46"/>
    </row>
    <row r="21" spans="1:16" ht="9.75" customHeight="1" x14ac:dyDescent="0.25">
      <c r="A21" s="18"/>
      <c r="B21" s="41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6"/>
    </row>
    <row r="22" spans="1:16" ht="19.5" customHeight="1" x14ac:dyDescent="0.25">
      <c r="A22" s="18"/>
      <c r="B22" s="41"/>
      <c r="C22" s="68" t="s">
        <v>31</v>
      </c>
      <c r="D22" s="52"/>
      <c r="E22" s="54" t="str">
        <f>VLOOKUP(C10,'Formato descripción HU'!B6:O15,12,0)</f>
        <v>Mediante la lectrura del pin ingresado por el teclado.</v>
      </c>
      <c r="F22" s="53"/>
      <c r="G22" s="53"/>
      <c r="H22" s="52"/>
      <c r="I22" s="45"/>
      <c r="J22" s="68" t="s">
        <v>13</v>
      </c>
      <c r="K22" s="52"/>
      <c r="L22" s="54" t="str">
        <f>VLOOKUP(C10,'Formato descripción HU'!B6:O15,13,0)</f>
        <v xml:space="preserve">3 intentos por usuario </v>
      </c>
      <c r="M22" s="53"/>
      <c r="N22" s="53"/>
      <c r="O22" s="52"/>
      <c r="P22" s="46"/>
    </row>
    <row r="23" spans="1:16" ht="19.5" customHeight="1" x14ac:dyDescent="0.25">
      <c r="A23" s="18"/>
      <c r="B23" s="41"/>
      <c r="C23" s="56"/>
      <c r="D23" s="57"/>
      <c r="E23" s="56"/>
      <c r="F23" s="58"/>
      <c r="G23" s="58"/>
      <c r="H23" s="57"/>
      <c r="I23" s="45"/>
      <c r="J23" s="56"/>
      <c r="K23" s="57"/>
      <c r="L23" s="56"/>
      <c r="M23" s="58"/>
      <c r="N23" s="58"/>
      <c r="O23" s="57"/>
      <c r="P23" s="46"/>
    </row>
    <row r="24" spans="1:16" ht="19.5" customHeight="1" x14ac:dyDescent="0.25">
      <c r="A24" s="18"/>
      <c r="B24" s="41"/>
      <c r="C24" s="60"/>
      <c r="D24" s="61"/>
      <c r="E24" s="60"/>
      <c r="F24" s="62"/>
      <c r="G24" s="62"/>
      <c r="H24" s="61"/>
      <c r="I24" s="45"/>
      <c r="J24" s="60"/>
      <c r="K24" s="61"/>
      <c r="L24" s="60"/>
      <c r="M24" s="62"/>
      <c r="N24" s="62"/>
      <c r="O24" s="61"/>
      <c r="P24" s="46"/>
    </row>
    <row r="25" spans="1:16" ht="9.75" customHeight="1" x14ac:dyDescent="0.25">
      <c r="A25" s="18"/>
      <c r="B25" s="69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1"/>
    </row>
    <row r="26" spans="1:16" ht="19.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 ht="19.5" customHeight="1" x14ac:dyDescent="0.2"/>
    <row r="28" spans="1:16" ht="19.5" customHeight="1" x14ac:dyDescent="0.2"/>
    <row r="29" spans="1:16" ht="19.5" customHeight="1" x14ac:dyDescent="0.2"/>
    <row r="30" spans="1:16" ht="19.5" customHeight="1" x14ac:dyDescent="0.2"/>
    <row r="31" spans="1:16" ht="19.5" customHeight="1" x14ac:dyDescent="0.2"/>
    <row r="32" spans="1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L15:L17"/>
    <mergeCell ref="M15:O17"/>
    <mergeCell ref="E19:O20"/>
    <mergeCell ref="E12:F12"/>
    <mergeCell ref="E13:F13"/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HU'!$B$6:$B$12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G303</cp:lastModifiedBy>
  <cp:revision/>
  <dcterms:created xsi:type="dcterms:W3CDTF">2019-10-21T15:37:14Z</dcterms:created>
  <dcterms:modified xsi:type="dcterms:W3CDTF">2026-07-10T15:06:45Z</dcterms:modified>
  <cp:category/>
  <cp:contentStatus/>
</cp:coreProperties>
</file>