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-ESPE\Documents\"/>
    </mc:Choice>
  </mc:AlternateContent>
  <xr:revisionPtr revIDLastSave="0" documentId="8_{A51741DD-A054-4106-A5F6-829540EA503D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<sst xmlns="http://schemas.openxmlformats.org/spreadsheetml/2006/main" count="69" uniqueCount="56">
  <si>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</si>
  <si>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</si>
  <si>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</si>
  <si>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</si>
  <si>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</si>
  <si>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</si>
  <si>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</si>
  <si>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</si>
  <si>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</si>
  <si>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</si>
  <si>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</si>
  <si>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</si>
  <si>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</si>
  <si>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</si>
  <si>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</si>
  <si>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</si>
  <si>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</si>
  <si>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</si>
  <si>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</si>
  <si>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</si>
  <si>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</si>
  <si>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</si>
  <si>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</si>
  <si>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</si>
  <si>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</si>
  <si>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</si>
  <si>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</si>
  <si>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</si>
  <si>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</si>
  <si>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</si>
  <si>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</si>
  <si>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No exixte registro de las personas que ingresan al hogar </t>
  </si>
  <si>
    <t xml:space="preserve">Para garantizar la seguridad de las demas personas del hohar </t>
  </si>
  <si>
    <t xml:space="preserve">Familia </t>
  </si>
  <si>
    <t xml:space="preserve">1. Creando el programa para una serradura electronica                                                                        2. Privatizando los datos de los usuarios los cuales solo podran ser visualizados por la persona encargada </t>
  </si>
  <si>
    <t>Francisco Comina</t>
  </si>
  <si>
    <t xml:space="preserve">Para realizar el ingreso de unn nuevo usuario solo se podra mediante el ingreso de la contraseña de la persona encargada </t>
  </si>
  <si>
    <t xml:space="preserve">Ingreso de Usuario </t>
  </si>
  <si>
    <t>RQ001</t>
  </si>
  <si>
    <t>RQ002</t>
  </si>
  <si>
    <t>RQ003</t>
  </si>
  <si>
    <t>Jhosue Angamarca</t>
  </si>
  <si>
    <t>Denegación de Acceso a Usuarios No Registrados</t>
  </si>
  <si>
    <t>Garantizar la seguridad del hogar evitando el ingreso de usuarios no autorizados</t>
  </si>
  <si>
    <t>Validando que el PIN o la cédula ingresados coincidan con los datos almacenados en el sistema antes de permitir el acceso.</t>
  </si>
  <si>
    <t>Intentar acceder con datos no registrados y comprobar que el sistema niegue el acceso mostrando "ACCESO DENEGADO".</t>
  </si>
  <si>
    <t>Restricción de Acceso No Autorizado</t>
  </si>
  <si>
    <t>No existe una opcion para reintentar el acceso cuando se ingresa un PIN incorrecto</t>
  </si>
  <si>
    <t>Mejorar la experiencia y facilitar el acceso al usuario.</t>
  </si>
  <si>
    <t>1. Detectar cuando el PIN ingresado es incorrecto.                                                          2. Validar nuevamente el PIN ingresado.</t>
  </si>
  <si>
    <t>Daniel Iza</t>
  </si>
  <si>
    <t>Ingresar un PIN incorrecto y verificar que aparezca el mensaje de error junto a la opcion de reintentar ingresar el PIN</t>
  </si>
  <si>
    <t>Acceso permitido mediante PIN</t>
  </si>
  <si>
    <t>El programa debera restringir el acceso a personas que no se encuentren registradas en el sistema.</t>
  </si>
  <si>
    <t xml:space="preserve">El programa debera llevar un registro que indique a la persona que ingresa y la hora a la que ingresa </t>
  </si>
  <si>
    <t xml:space="preserve">El programa debera permitir que el usuario pueda volver a intentar ingresar el PIN sin reinicias el sistema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</si>
</sst>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</font>
    <font>
      <sz val="11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1"/>
      <color theme="1"/>
      <name val="Arial"/>
      <family val="2"/>
    </font>
    <font>
      <b/>
      <i/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rgb="FF9C6500"/>
      <name val="Times New Roman"/>
      <family val="1"/>
    </font>
    <font>
      <b/>
      <i/>
      <sz val="1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B7B7B"/>
      </left>
      <right style="thin">
        <color rgb="FF7B7B7B"/>
      </right>
      <top/>
      <bottom style="thin">
        <color rgb="FF7B7B7B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0" fillId="3" borderId="5" xfId="0" applyFill="1" applyBorder="1"/>
    <xf numFmtId="0" fontId="8" fillId="5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7" xfId="0" applyFill="1" applyBorder="1"/>
    <xf numFmtId="0" fontId="3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1" fillId="0" borderId="0" xfId="0" applyFont="1"/>
    <xf numFmtId="0" fontId="14" fillId="0" borderId="23" xfId="0" applyFont="1" applyBorder="1" applyAlignment="1">
      <alignment horizontal="center" vertical="center" wrapText="1"/>
    </xf>
    <xf numFmtId="0" fontId="14" fillId="0" borderId="23" xfId="0" applyFont="1" applyBorder="1" applyAlignment="1">
      <alignment vertical="center" wrapText="1"/>
    </xf>
    <xf numFmtId="14" fontId="14" fillId="0" borderId="23" xfId="0" applyNumberFormat="1" applyFont="1" applyBorder="1" applyAlignment="1">
      <alignment horizontal="center" vertical="center" wrapText="1"/>
    </xf>
    <xf numFmtId="0" fontId="14" fillId="0" borderId="5" xfId="0" applyFont="1" applyBorder="1"/>
    <xf numFmtId="0" fontId="14" fillId="0" borderId="24" xfId="0" applyFont="1" applyBorder="1" applyAlignment="1">
      <alignment horizontal="center" vertical="center" wrapText="1"/>
    </xf>
    <xf numFmtId="14" fontId="14" fillId="0" borderId="24" xfId="0" applyNumberFormat="1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3" xfId="0" applyFont="1" applyBorder="1"/>
    <xf numFmtId="0" fontId="14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/>
    </xf>
    <xf numFmtId="0" fontId="15" fillId="2" borderId="23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left" vertical="center" wrapText="1" indent="1"/>
    </xf>
    <xf numFmtId="0" fontId="0" fillId="0" borderId="23" xfId="0" applyBorder="1" applyAlignment="1">
      <alignment vertical="top" wrapText="1"/>
    </xf>
    <xf numFmtId="0" fontId="0" fillId="0" borderId="23" xfId="0" applyBorder="1" applyAlignment="1">
      <alignment vertical="top"/>
    </xf>
    <xf numFmtId="14" fontId="0" fillId="0" borderId="23" xfId="0" applyNumberFormat="1" applyBorder="1" applyAlignment="1">
      <alignment vertical="top"/>
    </xf>
    <xf numFmtId="0" fontId="0" fillId="0" borderId="23" xfId="0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0" borderId="23" xfId="0" applyFont="1" applyBorder="1"/>
    <xf numFmtId="0" fontId="6" fillId="6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5" fillId="0" borderId="13" xfId="0" applyFont="1" applyBorder="1"/>
    <xf numFmtId="0" fontId="9" fillId="7" borderId="7" xfId="0" applyFont="1" applyFill="1" applyBorder="1" applyAlignment="1">
      <alignment horizontal="center" vertical="center"/>
    </xf>
    <xf numFmtId="0" fontId="5" fillId="0" borderId="8" xfId="0" applyFont="1" applyBorder="1"/>
    <xf numFmtId="0" fontId="5" fillId="0" borderId="20" xfId="0" applyFont="1" applyBorder="1"/>
    <xf numFmtId="0" fontId="5" fillId="0" borderId="22" xfId="0" applyFont="1" applyBorder="1"/>
    <xf numFmtId="0" fontId="6" fillId="4" borderId="7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1" fillId="5" borderId="7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12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6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5" fillId="0" borderId="9" xfId="0" applyFont="1" applyBorder="1"/>
    <xf numFmtId="0" fontId="0" fillId="0" borderId="0" xfId="0"/>
    <xf numFmtId="0" fontId="5" fillId="0" borderId="21" xfId="0" applyFont="1" applyBorder="1"/>
    <xf numFmtId="0" fontId="8" fillId="2" borderId="14" xfId="0" applyFont="1" applyFill="1" applyBorder="1" applyAlignment="1">
      <alignment horizontal="center" vertical="center"/>
    </xf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40822</xdr:colOff>
      <xdr:row>8</xdr:row>
      <xdr:rowOff>285750</xdr:rowOff>
    </xdr:from>
    <xdr:to>
      <xdr:col>14</xdr:col>
      <xdr:colOff>353786</xdr:colOff>
      <xdr:row>12</xdr:row>
      <xdr:rowOff>149678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BCAFBF-4BC4-C45C-4F8C-760369DDF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3215" y="1224643"/>
          <a:ext cx="1129392" cy="1129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4" zoomScale="60" zoomScaleNormal="60" workbookViewId="0">
      <selection activeCell="D7" sqref="D7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8" width="12.625" bestFit="1" customWidth="1"/>
    <col min="9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5">
      <c r="B3" s="48" t="s">
        <v>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26" ht="5.25" customHeight="1" x14ac:dyDescent="0.25">
      <c r="B4" s="38"/>
      <c r="C4" s="38"/>
      <c r="D4" s="38"/>
      <c r="E4" s="38"/>
      <c r="F4" s="38"/>
      <c r="G4" s="38"/>
      <c r="H4" s="38"/>
      <c r="I4" s="39"/>
      <c r="J4" s="39"/>
      <c r="K4" s="40"/>
      <c r="L4" s="39"/>
      <c r="M4" s="38"/>
      <c r="N4" s="38"/>
      <c r="O4" s="38"/>
    </row>
    <row r="5" spans="1:26" ht="78.75" customHeight="1" x14ac:dyDescent="0.2">
      <c r="B5" s="41" t="s">
        <v>1</v>
      </c>
      <c r="C5" s="41" t="s">
        <v>2</v>
      </c>
      <c r="D5" s="42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41" t="s">
        <v>9</v>
      </c>
      <c r="K5" s="41" t="s">
        <v>10</v>
      </c>
      <c r="L5" s="41" t="s">
        <v>11</v>
      </c>
      <c r="M5" s="41" t="s">
        <v>12</v>
      </c>
      <c r="N5" s="41" t="s">
        <v>13</v>
      </c>
      <c r="O5" s="41" t="s">
        <v>14</v>
      </c>
    </row>
    <row r="6" spans="1:26" ht="103.5" customHeight="1" x14ac:dyDescent="0.2">
      <c r="B6" s="39" t="s">
        <v>38</v>
      </c>
      <c r="C6" s="31" t="s">
        <v>31</v>
      </c>
      <c r="D6" s="31" t="s">
        <v>54</v>
      </c>
      <c r="E6" s="31" t="s">
        <v>32</v>
      </c>
      <c r="F6" s="31" t="s">
        <v>33</v>
      </c>
      <c r="G6" s="31" t="s">
        <v>34</v>
      </c>
      <c r="H6" s="31" t="s">
        <v>35</v>
      </c>
      <c r="I6" s="31">
        <v>2</v>
      </c>
      <c r="J6" s="33">
        <v>46178</v>
      </c>
      <c r="K6" s="31" t="s">
        <v>15</v>
      </c>
      <c r="L6" s="31" t="s">
        <v>16</v>
      </c>
      <c r="M6" s="31" t="s">
        <v>36</v>
      </c>
      <c r="N6" s="31"/>
      <c r="O6" s="31" t="s">
        <v>37</v>
      </c>
    </row>
    <row r="7" spans="1:26" ht="99.75" customHeight="1" x14ac:dyDescent="0.2">
      <c r="A7" s="5"/>
      <c r="B7" s="39" t="s">
        <v>39</v>
      </c>
      <c r="C7" s="44" t="s">
        <v>47</v>
      </c>
      <c r="D7" s="44" t="s">
        <v>55</v>
      </c>
      <c r="E7" s="44" t="s">
        <v>48</v>
      </c>
      <c r="F7" s="31" t="s">
        <v>33</v>
      </c>
      <c r="G7" s="44" t="s">
        <v>49</v>
      </c>
      <c r="H7" s="45" t="s">
        <v>50</v>
      </c>
      <c r="I7" s="47">
        <v>2</v>
      </c>
      <c r="J7" s="46">
        <v>46178</v>
      </c>
      <c r="K7" s="45" t="s">
        <v>15</v>
      </c>
      <c r="L7" s="45" t="s">
        <v>16</v>
      </c>
      <c r="M7" s="44" t="s">
        <v>51</v>
      </c>
      <c r="N7" s="45"/>
      <c r="O7" s="44" t="s">
        <v>52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04.25" customHeight="1" x14ac:dyDescent="0.2">
      <c r="B8" s="39" t="s">
        <v>40</v>
      </c>
      <c r="C8" s="32" t="s">
        <v>42</v>
      </c>
      <c r="D8" s="31" t="s">
        <v>53</v>
      </c>
      <c r="E8" s="31" t="s">
        <v>43</v>
      </c>
      <c r="F8" s="31" t="s">
        <v>33</v>
      </c>
      <c r="G8" s="43" t="s">
        <v>44</v>
      </c>
      <c r="H8" s="31" t="s">
        <v>41</v>
      </c>
      <c r="I8" s="31">
        <v>2</v>
      </c>
      <c r="J8" s="33">
        <v>46178</v>
      </c>
      <c r="K8" s="31" t="s">
        <v>15</v>
      </c>
      <c r="L8" s="31" t="s">
        <v>16</v>
      </c>
      <c r="M8" s="32" t="s">
        <v>45</v>
      </c>
      <c r="N8" s="31"/>
      <c r="O8" s="32" t="s">
        <v>46</v>
      </c>
    </row>
    <row r="9" spans="1:26" ht="78" customHeight="1" x14ac:dyDescent="0.2">
      <c r="B9" s="39"/>
      <c r="C9" s="31"/>
      <c r="D9" s="31"/>
      <c r="E9" s="31"/>
      <c r="F9" s="31"/>
      <c r="G9" s="31"/>
      <c r="H9" s="31"/>
      <c r="I9" s="31"/>
      <c r="J9" s="33"/>
      <c r="K9" s="31"/>
      <c r="L9" s="31"/>
      <c r="M9" s="31"/>
      <c r="N9" s="31"/>
      <c r="O9" s="31"/>
    </row>
    <row r="10" spans="1:26" ht="66" customHeight="1" x14ac:dyDescent="0.2">
      <c r="B10" s="39"/>
      <c r="C10" s="31"/>
      <c r="D10" s="31"/>
      <c r="E10" s="31"/>
      <c r="F10" s="31"/>
      <c r="G10" s="31"/>
      <c r="H10" s="31"/>
      <c r="I10" s="31"/>
      <c r="J10" s="33"/>
      <c r="K10" s="31"/>
      <c r="L10" s="31"/>
      <c r="M10" s="31"/>
      <c r="N10" s="31"/>
      <c r="O10" s="31"/>
      <c r="P10" s="30"/>
    </row>
    <row r="11" spans="1:26" ht="99.75" customHeight="1" x14ac:dyDescent="0.25">
      <c r="B11" s="34"/>
      <c r="C11" s="35"/>
      <c r="D11" s="35"/>
      <c r="E11" s="35"/>
      <c r="F11" s="35"/>
      <c r="G11" s="35"/>
      <c r="H11" s="35"/>
      <c r="I11" s="35"/>
      <c r="J11" s="36"/>
      <c r="K11" s="37"/>
      <c r="L11" s="35"/>
      <c r="M11" s="35"/>
      <c r="N11" s="35"/>
      <c r="O11" s="35"/>
    </row>
    <row r="12" spans="1:26" ht="72" customHeight="1" x14ac:dyDescent="0.2"/>
    <row r="13" spans="1:26" ht="65.25" customHeight="1" x14ac:dyDescent="0.2">
      <c r="I13" s="1"/>
      <c r="J13" s="1"/>
      <c r="K13" s="7"/>
      <c r="L13" s="3"/>
    </row>
    <row r="14" spans="1:26" ht="64.5" customHeight="1" x14ac:dyDescent="0.2">
      <c r="I14" s="1"/>
      <c r="J14" s="1"/>
      <c r="K14" s="7"/>
      <c r="L14" s="3"/>
    </row>
    <row r="15" spans="1:26" ht="39.75" customHeight="1" x14ac:dyDescent="0.25">
      <c r="I15" s="1"/>
      <c r="J15" s="1"/>
      <c r="K15" s="2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19.5" customHeight="1" x14ac:dyDescent="0.25">
      <c r="I18" s="1"/>
      <c r="J18" s="1"/>
      <c r="K18" s="28" t="s">
        <v>17</v>
      </c>
      <c r="L18" s="29" t="s">
        <v>18</v>
      </c>
      <c r="M18" s="4"/>
    </row>
    <row r="19" spans="9:13" ht="19.5" customHeight="1" x14ac:dyDescent="0.25">
      <c r="I19" s="1"/>
      <c r="J19" s="1"/>
      <c r="K19" s="28" t="s">
        <v>15</v>
      </c>
      <c r="L19" s="29" t="s">
        <v>19</v>
      </c>
      <c r="M19" s="4"/>
    </row>
    <row r="20" spans="9:13" ht="19.5" customHeight="1" x14ac:dyDescent="0.25">
      <c r="I20" s="1"/>
      <c r="J20" s="1"/>
      <c r="K20" s="28" t="s">
        <v>20</v>
      </c>
      <c r="L20" s="29" t="s">
        <v>16</v>
      </c>
      <c r="M20" s="4"/>
    </row>
    <row r="21" spans="9:13" ht="19.5" customHeight="1" x14ac:dyDescent="0.25">
      <c r="I21" s="1"/>
      <c r="J21" s="1"/>
      <c r="K21" s="28"/>
      <c r="L21" s="29" t="s">
        <v>21</v>
      </c>
      <c r="M21" s="4"/>
    </row>
    <row r="22" spans="9:13" ht="19.5" customHeight="1" x14ac:dyDescent="0.25">
      <c r="I22" s="1"/>
      <c r="J22" s="1"/>
      <c r="K22" s="2"/>
      <c r="L22" s="3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">
      <c r="I988" s="3"/>
      <c r="J988" s="3"/>
      <c r="K988" s="6"/>
      <c r="L988" s="3"/>
    </row>
    <row r="989" spans="9:12" ht="15.75" customHeight="1" x14ac:dyDescent="0.2">
      <c r="I989" s="3"/>
      <c r="J989" s="3"/>
      <c r="K989" s="6"/>
      <c r="L989" s="3"/>
    </row>
    <row r="990" spans="9:12" ht="15.75" customHeight="1" x14ac:dyDescent="0.2"/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3:O3"/>
  </mergeCells>
  <phoneticPr fontId="10" type="noConversion"/>
  <dataValidations count="2">
    <dataValidation type="list" allowBlank="1" showErrorMessage="1" sqref="L6 L8:L11" xr:uid="{00000000-0002-0000-0000-000000000000}">
      <formula1>$L$18:$L$21</formula1>
    </dataValidation>
    <dataValidation type="list" allowBlank="1" showErrorMessage="1" sqref="K6 K8:K11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6" zoomScale="70" zoomScaleNormal="70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8"/>
      <c r="D4" s="8"/>
      <c r="E4" s="8"/>
      <c r="F4" s="4"/>
    </row>
    <row r="5" spans="2:16" hidden="1" x14ac:dyDescent="0.25">
      <c r="C5" s="8"/>
      <c r="D5" s="8"/>
      <c r="E5" s="8"/>
      <c r="F5" s="4"/>
    </row>
    <row r="6" spans="2:16" ht="39.75" customHeight="1" x14ac:dyDescent="0.2">
      <c r="B6" s="69" t="s">
        <v>22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1"/>
    </row>
    <row r="7" spans="2:16" ht="9.75" customHeight="1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72" t="s">
        <v>23</v>
      </c>
      <c r="F9" s="71"/>
      <c r="G9" s="11"/>
      <c r="H9" s="72" t="s">
        <v>11</v>
      </c>
      <c r="I9" s="71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40</v>
      </c>
      <c r="D10" s="14"/>
      <c r="E10" s="73" t="str">
        <f>VLOOKUP(C10,'Formato descripción HU'!B6:O14,5,0)</f>
        <v xml:space="preserve">Familia </v>
      </c>
      <c r="F10" s="71"/>
      <c r="G10" s="15"/>
      <c r="H10" s="73" t="str">
        <f>VLOOKUP(C10,'Formato descripción HU'!B6:O14,11,0)</f>
        <v>Terminado</v>
      </c>
      <c r="I10" s="71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24</v>
      </c>
      <c r="D12" s="14"/>
      <c r="E12" s="72" t="s">
        <v>10</v>
      </c>
      <c r="F12" s="71"/>
      <c r="G12" s="15"/>
      <c r="H12" s="72" t="s">
        <v>25</v>
      </c>
      <c r="I12" s="71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>
        <f>VLOOKUP('Historia de Usuario'!C10,'Formato descripción HU'!B6:O14,8,0)</f>
        <v>2</v>
      </c>
      <c r="D13" s="14"/>
      <c r="E13" s="73" t="str">
        <f>VLOOKUP(C10,'Formato descripción HU'!B6:O14,10,0)</f>
        <v xml:space="preserve">Media </v>
      </c>
      <c r="F13" s="71"/>
      <c r="G13" s="15"/>
      <c r="H13" s="73" t="str">
        <f>VLOOKUP(C10,'Formato descripción HU'!B6:O14,7,0)</f>
        <v>Jhosue Angamarca</v>
      </c>
      <c r="I13" s="71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50" t="s">
        <v>26</v>
      </c>
      <c r="D15" s="60" t="str">
        <f>VLOOKUP(C10,'Formato descripción HU'!B6:O14,3,0)</f>
        <v>El programa debera restringir el acceso a personas que no se encuentren registradas en el sistema.</v>
      </c>
      <c r="E15" s="54"/>
      <c r="F15" s="12"/>
      <c r="G15" s="50" t="s">
        <v>27</v>
      </c>
      <c r="H15" s="60" t="str">
        <f>VLOOKUP(C10,'Formato descripción HU'!B6:O14,4,0)</f>
        <v>Garantizar la seguridad del hogar evitando el ingreso de usuarios no autorizados</v>
      </c>
      <c r="I15" s="75"/>
      <c r="J15" s="54"/>
      <c r="K15" s="12"/>
      <c r="L15" s="50" t="s">
        <v>28</v>
      </c>
      <c r="M15" s="60" t="str">
        <f>VLOOKUP(C10,'Formato descripción HU'!B6:O14,6,0)</f>
        <v>Validando que el PIN o la cédula ingresados coincidan con los datos almacenados en el sistema antes de permitir el acceso.</v>
      </c>
      <c r="N15" s="61"/>
      <c r="O15" s="62"/>
      <c r="P15" s="27"/>
    </row>
    <row r="16" spans="2:16" ht="19.5" customHeight="1" x14ac:dyDescent="0.2">
      <c r="B16" s="26"/>
      <c r="C16" s="51"/>
      <c r="D16" s="58"/>
      <c r="E16" s="59"/>
      <c r="F16" s="12"/>
      <c r="G16" s="51"/>
      <c r="H16" s="58"/>
      <c r="I16" s="76"/>
      <c r="J16" s="59"/>
      <c r="K16" s="12"/>
      <c r="L16" s="51"/>
      <c r="M16" s="63"/>
      <c r="N16" s="64"/>
      <c r="O16" s="65"/>
      <c r="P16" s="27"/>
    </row>
    <row r="17" spans="2:16" ht="19.5" customHeight="1" x14ac:dyDescent="0.2">
      <c r="B17" s="26"/>
      <c r="C17" s="52"/>
      <c r="D17" s="55"/>
      <c r="E17" s="56"/>
      <c r="F17" s="12"/>
      <c r="G17" s="52"/>
      <c r="H17" s="55"/>
      <c r="I17" s="77"/>
      <c r="J17" s="56"/>
      <c r="K17" s="12"/>
      <c r="L17" s="52"/>
      <c r="M17" s="66"/>
      <c r="N17" s="67"/>
      <c r="O17" s="68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53" t="s">
        <v>29</v>
      </c>
      <c r="D19" s="54"/>
      <c r="E19" s="78" t="str">
        <f>VLOOKUP(C10,'Formato descripción HU'!B6:O14,14,0)</f>
        <v>Restricción de Acceso No Autorizado</v>
      </c>
      <c r="F19" s="79"/>
      <c r="G19" s="79"/>
      <c r="H19" s="79"/>
      <c r="I19" s="79"/>
      <c r="J19" s="79"/>
      <c r="K19" s="79"/>
      <c r="L19" s="79"/>
      <c r="M19" s="79"/>
      <c r="N19" s="79"/>
      <c r="O19" s="80"/>
      <c r="P19" s="27"/>
    </row>
    <row r="20" spans="2:16" ht="19.5" customHeight="1" x14ac:dyDescent="0.2">
      <c r="B20" s="26"/>
      <c r="C20" s="55"/>
      <c r="D20" s="56"/>
      <c r="E20" s="81"/>
      <c r="F20" s="82"/>
      <c r="G20" s="82"/>
      <c r="H20" s="82"/>
      <c r="I20" s="82"/>
      <c r="J20" s="82"/>
      <c r="K20" s="82"/>
      <c r="L20" s="82"/>
      <c r="M20" s="82"/>
      <c r="N20" s="82"/>
      <c r="O20" s="83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57" t="s">
        <v>30</v>
      </c>
      <c r="D22" s="54"/>
      <c r="E22" s="60" t="str">
        <f>VLOOKUP(C10,'Formato descripción HU'!B6:O14,12,0)</f>
        <v>Intentar acceder con datos no registrados y comprobar que el sistema niegue el acceso mostrando "ACCESO DENEGADO".</v>
      </c>
      <c r="F22" s="61"/>
      <c r="G22" s="61"/>
      <c r="H22" s="62"/>
      <c r="I22" s="12"/>
      <c r="J22" s="57" t="s">
        <v>13</v>
      </c>
      <c r="K22" s="54"/>
      <c r="L22" s="74">
        <f>VLOOKUP(C10,'Formato descripción HU'!B6:O14,13,0)</f>
        <v>0</v>
      </c>
      <c r="M22" s="75"/>
      <c r="N22" s="75"/>
      <c r="O22" s="54"/>
      <c r="P22" s="27"/>
    </row>
    <row r="23" spans="2:16" ht="19.5" customHeight="1" x14ac:dyDescent="0.2">
      <c r="B23" s="26"/>
      <c r="C23" s="58"/>
      <c r="D23" s="59"/>
      <c r="E23" s="63"/>
      <c r="F23" s="64"/>
      <c r="G23" s="64"/>
      <c r="H23" s="65"/>
      <c r="I23" s="12"/>
      <c r="J23" s="58"/>
      <c r="K23" s="59"/>
      <c r="L23" s="58"/>
      <c r="M23" s="76"/>
      <c r="N23" s="76"/>
      <c r="O23" s="59"/>
      <c r="P23" s="27"/>
    </row>
    <row r="24" spans="2:16" ht="19.5" customHeight="1" x14ac:dyDescent="0.2">
      <c r="B24" s="26"/>
      <c r="C24" s="55"/>
      <c r="D24" s="56"/>
      <c r="E24" s="66"/>
      <c r="F24" s="67"/>
      <c r="G24" s="67"/>
      <c r="H24" s="68"/>
      <c r="I24" s="12"/>
      <c r="J24" s="55"/>
      <c r="K24" s="56"/>
      <c r="L24" s="55"/>
      <c r="M24" s="77"/>
      <c r="N24" s="77"/>
      <c r="O24" s="56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HU'!$B$6:$B$10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LABS-ESPE</cp:lastModifiedBy>
  <cp:revision/>
  <dcterms:created xsi:type="dcterms:W3CDTF">2019-10-21T15:37:14Z</dcterms:created>
  <dcterms:modified xsi:type="dcterms:W3CDTF">2026-07-08T15:17:13Z</dcterms:modified>
  <cp:category/>
  <cp:contentStatus/>
</cp:coreProperties>
</file>