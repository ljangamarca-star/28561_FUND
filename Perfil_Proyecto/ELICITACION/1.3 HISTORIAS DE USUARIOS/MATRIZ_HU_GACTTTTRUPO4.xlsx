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-ESPE\Downloads\"/>
    </mc:Choice>
  </mc:AlternateContent>
  <xr:revisionPtr revIDLastSave="0" documentId="8_{9379B49F-03F9-4FFA-B7E7-824D247BE6E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<sst xmlns="http://schemas.openxmlformats.org/spreadsheetml/2006/main" count="108" uniqueCount="84">
  <si>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</si>
  <si>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</si>
  <si>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</si>
  <si>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</si>
  <si>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</si>
  <si>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</si>
  <si>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</si>
  <si>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</si>
  <si>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</si>
  <si>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</si>
  <si>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</si>
  <si>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</si>
  <si>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</si>
  <si>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</si>
  <si>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</si>
  <si>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</si>
  <si>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</si>
  <si>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</si>
  <si>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</si>
  <si>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</si>
  <si>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</si>
  <si>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</si>
  <si>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</si>
  <si>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</si>
  <si>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</si>
  <si>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</si>
  <si>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</si>
  <si>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</si>
  <si>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</si>
  <si>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</si>
  <si>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</si>
  <si>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</si>
  <si>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Ingreso de datos seguros de personas deseadas </t>
  </si>
  <si>
    <t>Jhosue Angamarca</t>
  </si>
  <si>
    <t>REQ002</t>
  </si>
  <si>
    <t>Ingreso de personas no deseadas</t>
  </si>
  <si>
    <t xml:space="preserve">Evitar el ingreso de personas no autorizadas </t>
  </si>
  <si>
    <t xml:space="preserve">Para garantizar la  seguridad integral de los usuarios </t>
  </si>
  <si>
    <t>1. Mediante la lectura por sistema de digitos unicos (4 ULTIMOS DE LA CEDULA)</t>
  </si>
  <si>
    <t>Daniel Iza</t>
  </si>
  <si>
    <t xml:space="preserve"> Ingreso seguro</t>
  </si>
  <si>
    <t>REQ003</t>
  </si>
  <si>
    <t>Mediante la creacion de un menu anidado BIENVENIDOS AL SITEMA D.J.F INGRESE SU PIN…</t>
  </si>
  <si>
    <t xml:space="preserve">3 intentos por usuario </t>
  </si>
  <si>
    <t>Brandon Pastuña</t>
  </si>
  <si>
    <t xml:space="preserve">1. programando el arduino mediante la guia del codeblocks </t>
  </si>
  <si>
    <t xml:space="preserve">Francisco Comina </t>
  </si>
  <si>
    <t>Mediante la lectrura del pin ingresado por el teclado.</t>
  </si>
  <si>
    <t>Funcionalidad compatible del sistema.</t>
  </si>
  <si>
    <t xml:space="preserve">Ingreso  de PIN seguro a la vivienda </t>
  </si>
  <si>
    <t xml:space="preserve">1.  Creacion de registros de ususarios  de las personas autorizadas </t>
  </si>
  <si>
    <t xml:space="preserve">Funcionamiento del sistema en arduino </t>
  </si>
  <si>
    <t xml:space="preserve">Resgistro de datos de los residentes de la vivienda </t>
  </si>
  <si>
    <t xml:space="preserve">Lectura correcta de la información ingresado por teclado </t>
  </si>
  <si>
    <t>Para brindar seguridad dentro de la vivienda.</t>
  </si>
  <si>
    <t xml:space="preserve">Para el correcto analisis de la informacion de las personas autorizadas  </t>
  </si>
  <si>
    <t xml:space="preserve">Con el analisis de los datos ingresados previamente, se realiza una evaluacion de usuario registrado y no registrado.   </t>
  </si>
  <si>
    <t>REQ005</t>
  </si>
  <si>
    <t>REQ004</t>
  </si>
  <si>
    <t>La información de un usuario puede cambiar</t>
  </si>
  <si>
    <t>Editar los datos de un usuario</t>
  </si>
  <si>
    <t>Mantener la información actualizada</t>
  </si>
  <si>
    <t>Buscar al usuario por cédula y modificar nombre, cédula o PIN</t>
  </si>
  <si>
    <t>ALTA</t>
  </si>
  <si>
    <t>Editar un usuario y verificar que los cambios se guarden</t>
  </si>
  <si>
    <t>Actualización inmediata del archivo</t>
  </si>
  <si>
    <t>Edición de usuarios</t>
  </si>
  <si>
    <t>Los datos se pierden al cerrar el programa</t>
  </si>
  <si>
    <t>Guardar automáticamente la información</t>
  </si>
  <si>
    <t>Conservar los usuarios registrados entre ejecuciones</t>
  </si>
  <si>
    <r>
      <t xml:space="preserve">Escribir y leer la información desde el archivo </t>
    </r>
    <r>
      <rPr>
        <sz val="10"/>
        <color theme="1"/>
        <rFont val="Arial Unicode MS"/>
        <family val="2"/>
      </rPr>
      <t>usuarios.txt</t>
    </r>
  </si>
  <si>
    <t>alta</t>
  </si>
  <si>
    <t>terminado</t>
  </si>
  <si>
    <t>Cerrar el programa y verificar que los datos permanezcan</t>
  </si>
  <si>
    <t>Archivo de texto</t>
  </si>
  <si>
    <t>Persistencia de datos</t>
  </si>
  <si>
    <t>REQ006</t>
  </si>
  <si>
    <t>No existe una interfaz organizada</t>
  </si>
  <si>
    <t>Implementar un menú principal</t>
  </si>
  <si>
    <t>Facilitar el uso del sistema</t>
  </si>
  <si>
    <t>Crear un menú con las opciones Registrar, Iniciar sesión, Ver usuarios, Editar y Salir</t>
  </si>
  <si>
    <t>Navegar por todas las opciones del menú</t>
  </si>
  <si>
    <t>Menú sencillo e intuitivo</t>
  </si>
  <si>
    <t>Menú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</si>
</sst>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0" fillId="0" borderId="7" xfId="0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 applyAlignment="1"/>
    <xf numFmtId="0" fontId="8" fillId="0" borderId="15" xfId="0" applyFont="1" applyBorder="1" applyAlignment="1"/>
    <xf numFmtId="0" fontId="1" fillId="5" borderId="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4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4" xfId="0" applyFont="1" applyBorder="1" applyAlignment="1">
      <alignment wrapText="1"/>
    </xf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 applyAlignment="1"/>
    <xf numFmtId="0" fontId="8" fillId="0" borderId="18" xfId="0" applyFont="1" applyBorder="1" applyAlignment="1"/>
    <xf numFmtId="0" fontId="8" fillId="0" borderId="19" xfId="0" applyFont="1" applyBorder="1" applyAlignment="1"/>
    <xf numFmtId="0" fontId="8" fillId="0" borderId="20" xfId="0" applyFont="1" applyBorder="1" applyAlignment="1"/>
    <xf numFmtId="0" fontId="8" fillId="0" borderId="21" xfId="0" applyFont="1" applyBorder="1" applyAlignment="1"/>
    <xf numFmtId="0" fontId="9" fillId="4" borderId="3" xfId="0" applyFont="1" applyFill="1" applyBorder="1" applyAlignment="1">
      <alignment horizontal="center" vertical="center"/>
    </xf>
    <xf numFmtId="0" fontId="8" fillId="0" borderId="5" xfId="0" applyFont="1" applyBorder="1" applyAlignment="1"/>
    <xf numFmtId="0" fontId="1" fillId="5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 applyAlignment="1"/>
    <xf numFmtId="0" fontId="8" fillId="0" borderId="22" xfId="0" applyFont="1" applyBorder="1" applyAlignment="1"/>
    <xf numFmtId="0" fontId="8" fillId="0" borderId="24" xfId="0" applyFont="1" applyBorder="1" applyAlignment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 applyAlignment="1"/>
    <xf numFmtId="0" fontId="8" fillId="0" borderId="14" xfId="0" applyFont="1" applyBorder="1" applyAlignment="1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 applyAlignment="1"/>
    <xf numFmtId="0" fontId="0" fillId="0" borderId="0" xfId="0" applyAlignment="1"/>
    <xf numFmtId="0" fontId="8" fillId="0" borderId="23" xfId="0" applyFont="1" applyBorder="1" applyAlignment="1"/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5" fillId="0" borderId="29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E7" zoomScale="85" zoomScaleNormal="85" workbookViewId="0">
      <selection activeCell="O11" sqref="O11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37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48" t="s">
        <v>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103.5" customHeight="1" x14ac:dyDescent="0.2">
      <c r="B6" s="32" t="s">
        <v>15</v>
      </c>
      <c r="C6" s="30" t="s">
        <v>32</v>
      </c>
      <c r="D6" s="30" t="s">
        <v>52</v>
      </c>
      <c r="E6" s="30" t="s">
        <v>54</v>
      </c>
      <c r="F6" s="34" t="s">
        <v>44</v>
      </c>
      <c r="G6" s="30" t="s">
        <v>50</v>
      </c>
      <c r="H6" s="30" t="s">
        <v>33</v>
      </c>
      <c r="I6" s="30">
        <v>1</v>
      </c>
      <c r="J6" s="44">
        <v>46160</v>
      </c>
      <c r="K6" s="30" t="s">
        <v>18</v>
      </c>
      <c r="L6" s="30" t="s">
        <v>17</v>
      </c>
      <c r="M6" s="30" t="s">
        <v>42</v>
      </c>
      <c r="N6" s="30" t="s">
        <v>43</v>
      </c>
      <c r="O6" s="30" t="s">
        <v>49</v>
      </c>
    </row>
    <row r="7" spans="1:26" ht="99.75" customHeight="1" x14ac:dyDescent="0.2">
      <c r="A7" s="7"/>
      <c r="B7" s="32" t="s">
        <v>34</v>
      </c>
      <c r="C7" s="30" t="s">
        <v>35</v>
      </c>
      <c r="D7" s="30" t="s">
        <v>36</v>
      </c>
      <c r="E7" s="30" t="s">
        <v>37</v>
      </c>
      <c r="F7" s="34" t="s">
        <v>44</v>
      </c>
      <c r="G7" s="30" t="s">
        <v>38</v>
      </c>
      <c r="H7" s="35" t="s">
        <v>39</v>
      </c>
      <c r="I7" s="30">
        <v>1</v>
      </c>
      <c r="J7" s="31">
        <v>46160</v>
      </c>
      <c r="K7" s="36" t="s">
        <v>18</v>
      </c>
      <c r="L7" s="38" t="s">
        <v>17</v>
      </c>
      <c r="M7" s="37" t="s">
        <v>56</v>
      </c>
      <c r="N7" s="30" t="s">
        <v>43</v>
      </c>
      <c r="O7" s="30" t="s">
        <v>40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78" customHeight="1" x14ac:dyDescent="0.2">
      <c r="B8" s="32" t="s">
        <v>41</v>
      </c>
      <c r="C8" s="33" t="s">
        <v>51</v>
      </c>
      <c r="D8" s="33" t="s">
        <v>53</v>
      </c>
      <c r="E8" s="33" t="s">
        <v>55</v>
      </c>
      <c r="F8" s="34" t="s">
        <v>44</v>
      </c>
      <c r="G8" s="33" t="s">
        <v>45</v>
      </c>
      <c r="H8" s="33" t="s">
        <v>46</v>
      </c>
      <c r="I8" s="33">
        <v>1</v>
      </c>
      <c r="J8" s="45">
        <v>46160</v>
      </c>
      <c r="K8" s="30" t="s">
        <v>18</v>
      </c>
      <c r="L8" s="30" t="s">
        <v>17</v>
      </c>
      <c r="M8" s="33" t="s">
        <v>47</v>
      </c>
      <c r="N8" s="30" t="s">
        <v>43</v>
      </c>
      <c r="O8" s="33" t="s">
        <v>48</v>
      </c>
    </row>
    <row r="9" spans="1:26" ht="78" customHeight="1" x14ac:dyDescent="0.2">
      <c r="B9" t="s">
        <v>58</v>
      </c>
      <c r="C9" s="84" t="s">
        <v>59</v>
      </c>
      <c r="D9" s="84" t="s">
        <v>60</v>
      </c>
      <c r="E9" s="84" t="s">
        <v>61</v>
      </c>
      <c r="F9" s="39" t="s">
        <v>44</v>
      </c>
      <c r="G9" s="84" t="s">
        <v>62</v>
      </c>
      <c r="H9" s="33" t="s">
        <v>39</v>
      </c>
      <c r="I9" s="33">
        <v>1</v>
      </c>
      <c r="J9" s="43">
        <v>46211</v>
      </c>
      <c r="K9" s="30" t="s">
        <v>63</v>
      </c>
      <c r="L9" s="30" t="s">
        <v>17</v>
      </c>
      <c r="M9" s="84" t="s">
        <v>64</v>
      </c>
      <c r="N9" s="84" t="s">
        <v>65</v>
      </c>
      <c r="O9" s="84" t="s">
        <v>66</v>
      </c>
    </row>
    <row r="10" spans="1:26" ht="66" customHeight="1" x14ac:dyDescent="0.2">
      <c r="B10" s="32" t="s">
        <v>57</v>
      </c>
      <c r="C10" s="84" t="s">
        <v>67</v>
      </c>
      <c r="D10" s="84" t="s">
        <v>68</v>
      </c>
      <c r="E10" s="84" t="s">
        <v>69</v>
      </c>
      <c r="F10" s="34" t="s">
        <v>44</v>
      </c>
      <c r="G10" s="85" t="s">
        <v>70</v>
      </c>
      <c r="H10" s="33" t="s">
        <v>46</v>
      </c>
      <c r="I10" s="33">
        <v>1</v>
      </c>
      <c r="J10" s="45">
        <v>46211</v>
      </c>
      <c r="K10" s="35" t="s">
        <v>71</v>
      </c>
      <c r="L10" s="33" t="s">
        <v>72</v>
      </c>
      <c r="M10" s="85" t="s">
        <v>73</v>
      </c>
      <c r="N10" s="85" t="s">
        <v>74</v>
      </c>
      <c r="O10" s="86" t="s">
        <v>75</v>
      </c>
      <c r="P10" s="46"/>
    </row>
    <row r="11" spans="1:26" ht="99.75" customHeight="1" x14ac:dyDescent="0.2">
      <c r="B11" s="87" t="s">
        <v>76</v>
      </c>
      <c r="C11" s="85" t="s">
        <v>77</v>
      </c>
      <c r="D11" s="85" t="s">
        <v>78</v>
      </c>
      <c r="E11" s="85" t="s">
        <v>79</v>
      </c>
      <c r="F11" s="39" t="s">
        <v>44</v>
      </c>
      <c r="G11" s="85" t="s">
        <v>80</v>
      </c>
      <c r="H11" s="39" t="s">
        <v>33</v>
      </c>
      <c r="I11" s="38">
        <v>1</v>
      </c>
      <c r="J11" s="42">
        <v>46211</v>
      </c>
      <c r="K11" s="35" t="s">
        <v>63</v>
      </c>
      <c r="L11" s="39" t="s">
        <v>17</v>
      </c>
      <c r="M11" s="85" t="s">
        <v>81</v>
      </c>
      <c r="N11" s="85" t="s">
        <v>82</v>
      </c>
      <c r="O11" s="46" t="s">
        <v>83</v>
      </c>
    </row>
    <row r="12" spans="1:26" ht="72" customHeight="1" x14ac:dyDescent="0.2">
      <c r="B12" s="47"/>
    </row>
    <row r="13" spans="1:26" ht="65.25" customHeight="1" x14ac:dyDescent="0.2">
      <c r="I13" s="1"/>
      <c r="J13" s="1"/>
      <c r="K13" s="9"/>
      <c r="L13" s="3"/>
    </row>
    <row r="14" spans="1:26" ht="64.5" customHeight="1" x14ac:dyDescent="0.2">
      <c r="I14" s="1"/>
      <c r="J14" s="1"/>
      <c r="K14" s="9"/>
      <c r="L14" s="3"/>
    </row>
    <row r="15" spans="1:26" ht="39.75" customHeight="1" x14ac:dyDescent="0.25">
      <c r="I15" s="1"/>
      <c r="J15" s="1"/>
      <c r="K15" s="2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19.5" customHeight="1" x14ac:dyDescent="0.25">
      <c r="I18" s="1"/>
      <c r="J18" s="1"/>
      <c r="K18" s="40" t="s">
        <v>18</v>
      </c>
      <c r="L18" s="41" t="s">
        <v>19</v>
      </c>
      <c r="M18" s="4"/>
    </row>
    <row r="19" spans="9:13" ht="19.5" customHeight="1" x14ac:dyDescent="0.25">
      <c r="I19" s="1"/>
      <c r="J19" s="1"/>
      <c r="K19" s="40" t="s">
        <v>16</v>
      </c>
      <c r="L19" s="41" t="s">
        <v>20</v>
      </c>
      <c r="M19" s="4"/>
    </row>
    <row r="20" spans="9:13" ht="19.5" customHeight="1" x14ac:dyDescent="0.25">
      <c r="I20" s="1"/>
      <c r="J20" s="1"/>
      <c r="K20" s="40" t="s">
        <v>21</v>
      </c>
      <c r="L20" s="41" t="s">
        <v>17</v>
      </c>
      <c r="M20" s="4"/>
    </row>
    <row r="21" spans="9:13" ht="19.5" customHeight="1" x14ac:dyDescent="0.25">
      <c r="I21" s="1"/>
      <c r="J21" s="1"/>
      <c r="K21" s="40"/>
      <c r="L21" s="41" t="s">
        <v>22</v>
      </c>
      <c r="M21" s="4"/>
    </row>
    <row r="22" spans="9:13" ht="19.5" customHeight="1" x14ac:dyDescent="0.25">
      <c r="I22" s="1"/>
      <c r="J22" s="1"/>
      <c r="K22" s="2"/>
      <c r="L22" s="3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8"/>
      <c r="L988" s="3"/>
    </row>
    <row r="989" spans="9:12" ht="15.75" customHeight="1" x14ac:dyDescent="0.2">
      <c r="I989" s="3"/>
      <c r="J989" s="3"/>
      <c r="K989" s="8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3" type="noConversion"/>
  <dataValidations count="2">
    <dataValidation type="list" allowBlank="1" showErrorMessage="1" sqref="L6:L11" xr:uid="{00000000-0002-0000-0000-000000000000}">
      <formula1>$L$18:$L$21</formula1>
    </dataValidation>
    <dataValidation type="list" allowBlank="1" showErrorMessage="1" sqref="K6:K11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7" zoomScaleNormal="10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10"/>
      <c r="D4" s="10"/>
      <c r="E4" s="10"/>
      <c r="F4" s="4"/>
    </row>
    <row r="5" spans="2:16" hidden="1" x14ac:dyDescent="0.25">
      <c r="C5" s="10"/>
      <c r="D5" s="10"/>
      <c r="E5" s="10"/>
      <c r="F5" s="4"/>
    </row>
    <row r="6" spans="2:16" ht="39.75" customHeight="1" x14ac:dyDescent="0.2">
      <c r="B6" s="78" t="s">
        <v>23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69"/>
    </row>
    <row r="7" spans="2:16" ht="9.75" customHeight="1" x14ac:dyDescent="0.2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25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">
      <c r="B9" s="28"/>
      <c r="C9" s="12" t="s">
        <v>1</v>
      </c>
      <c r="D9" s="13"/>
      <c r="E9" s="68" t="s">
        <v>24</v>
      </c>
      <c r="F9" s="69"/>
      <c r="G9" s="13"/>
      <c r="H9" s="68" t="s">
        <v>11</v>
      </c>
      <c r="I9" s="69"/>
      <c r="J9" s="14"/>
      <c r="K9" s="14"/>
      <c r="L9" s="14"/>
      <c r="M9" s="14"/>
      <c r="N9" s="14"/>
      <c r="O9" s="14"/>
      <c r="P9" s="29"/>
    </row>
    <row r="10" spans="2:16" ht="30" customHeight="1" x14ac:dyDescent="0.2">
      <c r="B10" s="28"/>
      <c r="C10" s="15" t="s">
        <v>41</v>
      </c>
      <c r="D10" s="16"/>
      <c r="E10" s="70" t="str">
        <f>VLOOKUP(C10,'Formato descripción HU'!B6:O14,5,0)</f>
        <v>Brandon Pastuña</v>
      </c>
      <c r="F10" s="69"/>
      <c r="G10" s="17"/>
      <c r="H10" s="70" t="str">
        <f>VLOOKUP(C10,'Formato descripción HU'!B6:O14,11,0)</f>
        <v>Terminado</v>
      </c>
      <c r="I10" s="69"/>
      <c r="J10" s="17"/>
      <c r="K10" s="14"/>
      <c r="L10" s="14"/>
      <c r="M10" s="14"/>
      <c r="N10" s="14"/>
      <c r="O10" s="14"/>
      <c r="P10" s="29"/>
    </row>
    <row r="11" spans="2:16" ht="9.75" customHeight="1" x14ac:dyDescent="0.2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">
      <c r="B12" s="28"/>
      <c r="C12" s="12" t="s">
        <v>25</v>
      </c>
      <c r="D12" s="16"/>
      <c r="E12" s="68" t="s">
        <v>10</v>
      </c>
      <c r="F12" s="69"/>
      <c r="G12" s="17"/>
      <c r="H12" s="68" t="s">
        <v>26</v>
      </c>
      <c r="I12" s="69"/>
      <c r="J12" s="17"/>
      <c r="K12" s="19"/>
      <c r="L12" s="19"/>
      <c r="M12" s="14"/>
      <c r="N12" s="19"/>
      <c r="O12" s="19"/>
      <c r="P12" s="29"/>
    </row>
    <row r="13" spans="2:16" ht="30" customHeight="1" x14ac:dyDescent="0.2">
      <c r="B13" s="28"/>
      <c r="C13" s="15">
        <f>VLOOKUP('Historia de Usuario'!C10,'Formato descripción HU'!B6:O14,8,0)</f>
        <v>1</v>
      </c>
      <c r="D13" s="16"/>
      <c r="E13" s="70" t="str">
        <f>VLOOKUP(C10,'Formato descripción HU'!B6:O14,10,0)</f>
        <v>Alta</v>
      </c>
      <c r="F13" s="69"/>
      <c r="G13" s="17"/>
      <c r="H13" s="70" t="str">
        <f>VLOOKUP(C10,'Formato descripción HU'!B6:O14,7,0)</f>
        <v xml:space="preserve">Francisco Comina </v>
      </c>
      <c r="I13" s="69"/>
      <c r="J13" s="17"/>
      <c r="K13" s="19"/>
      <c r="L13" s="19"/>
      <c r="M13" s="14"/>
      <c r="N13" s="19"/>
      <c r="O13" s="19"/>
      <c r="P13" s="29"/>
    </row>
    <row r="14" spans="2:16" ht="9.75" customHeight="1" x14ac:dyDescent="0.2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">
      <c r="B15" s="28"/>
      <c r="C15" s="50" t="s">
        <v>27</v>
      </c>
      <c r="D15" s="53" t="str">
        <f>VLOOKUP(C10,'Formato descripción HU'!B6:O14,3,0)</f>
        <v xml:space="preserve">Lectura correcta de la información ingresado por teclado </v>
      </c>
      <c r="E15" s="72"/>
      <c r="F15" s="14"/>
      <c r="G15" s="50" t="s">
        <v>28</v>
      </c>
      <c r="H15" s="53" t="str">
        <f>VLOOKUP(C10,'Formato descripción HU'!B6:O14,4,0)</f>
        <v xml:space="preserve">Para el correcto analisis de la informacion de las personas autorizadas  </v>
      </c>
      <c r="I15" s="81"/>
      <c r="J15" s="72"/>
      <c r="K15" s="14"/>
      <c r="L15" s="50" t="s">
        <v>29</v>
      </c>
      <c r="M15" s="53" t="str">
        <f>VLOOKUP(C10,'Formato descripción HU'!B6:O14,6,0)</f>
        <v xml:space="preserve">1. programando el arduino mediante la guia del codeblocks </v>
      </c>
      <c r="N15" s="54"/>
      <c r="O15" s="55"/>
      <c r="P15" s="29"/>
    </row>
    <row r="16" spans="2:16" ht="19.5" customHeight="1" x14ac:dyDescent="0.2">
      <c r="B16" s="28"/>
      <c r="C16" s="51"/>
      <c r="D16" s="76"/>
      <c r="E16" s="77"/>
      <c r="F16" s="14"/>
      <c r="G16" s="51"/>
      <c r="H16" s="76"/>
      <c r="I16" s="82"/>
      <c r="J16" s="77"/>
      <c r="K16" s="14"/>
      <c r="L16" s="51"/>
      <c r="M16" s="56"/>
      <c r="N16" s="57"/>
      <c r="O16" s="58"/>
      <c r="P16" s="29"/>
    </row>
    <row r="17" spans="2:16" ht="19.5" customHeight="1" x14ac:dyDescent="0.2">
      <c r="B17" s="28"/>
      <c r="C17" s="52"/>
      <c r="D17" s="73"/>
      <c r="E17" s="74"/>
      <c r="F17" s="14"/>
      <c r="G17" s="52"/>
      <c r="H17" s="73"/>
      <c r="I17" s="83"/>
      <c r="J17" s="74"/>
      <c r="K17" s="14"/>
      <c r="L17" s="52"/>
      <c r="M17" s="59"/>
      <c r="N17" s="60"/>
      <c r="O17" s="61"/>
      <c r="P17" s="29"/>
    </row>
    <row r="18" spans="2:16" ht="9.75" customHeight="1" x14ac:dyDescent="0.2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">
      <c r="B19" s="28"/>
      <c r="C19" s="71" t="s">
        <v>30</v>
      </c>
      <c r="D19" s="72"/>
      <c r="E19" s="62" t="str">
        <f>VLOOKUP(C10,'Formato descripción HU'!B6:O14,14,0)</f>
        <v>Funcionalidad compatible del sistema.</v>
      </c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29"/>
    </row>
    <row r="20" spans="2:16" ht="19.5" customHeight="1" x14ac:dyDescent="0.2">
      <c r="B20" s="28"/>
      <c r="C20" s="73"/>
      <c r="D20" s="74"/>
      <c r="E20" s="65"/>
      <c r="F20" s="66"/>
      <c r="G20" s="66"/>
      <c r="H20" s="66"/>
      <c r="I20" s="66"/>
      <c r="J20" s="66"/>
      <c r="K20" s="66"/>
      <c r="L20" s="66"/>
      <c r="M20" s="66"/>
      <c r="N20" s="66"/>
      <c r="O20" s="67"/>
      <c r="P20" s="29"/>
    </row>
    <row r="21" spans="2:16" ht="9.75" customHeight="1" x14ac:dyDescent="0.2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">
      <c r="B22" s="28"/>
      <c r="C22" s="75" t="s">
        <v>31</v>
      </c>
      <c r="D22" s="72"/>
      <c r="E22" s="53" t="str">
        <f>VLOOKUP(C10,'Formato descripción HU'!B6:O14,12,0)</f>
        <v>Mediante la lectrura del pin ingresado por el teclado.</v>
      </c>
      <c r="F22" s="54"/>
      <c r="G22" s="54"/>
      <c r="H22" s="55"/>
      <c r="I22" s="14"/>
      <c r="J22" s="75" t="s">
        <v>13</v>
      </c>
      <c r="K22" s="72"/>
      <c r="L22" s="80" t="str">
        <f>VLOOKUP(C10,'Formato descripción HU'!B6:O14,13,0)</f>
        <v xml:space="preserve">3 intentos por usuario </v>
      </c>
      <c r="M22" s="81"/>
      <c r="N22" s="81"/>
      <c r="O22" s="72"/>
      <c r="P22" s="29"/>
    </row>
    <row r="23" spans="2:16" ht="19.5" customHeight="1" x14ac:dyDescent="0.2">
      <c r="B23" s="28"/>
      <c r="C23" s="76"/>
      <c r="D23" s="77"/>
      <c r="E23" s="56"/>
      <c r="F23" s="57"/>
      <c r="G23" s="57"/>
      <c r="H23" s="58"/>
      <c r="I23" s="14"/>
      <c r="J23" s="76"/>
      <c r="K23" s="77"/>
      <c r="L23" s="76"/>
      <c r="M23" s="82"/>
      <c r="N23" s="82"/>
      <c r="O23" s="77"/>
      <c r="P23" s="29"/>
    </row>
    <row r="24" spans="2:16" ht="19.5" customHeight="1" x14ac:dyDescent="0.2">
      <c r="B24" s="28"/>
      <c r="C24" s="73"/>
      <c r="D24" s="74"/>
      <c r="E24" s="59"/>
      <c r="F24" s="60"/>
      <c r="G24" s="60"/>
      <c r="H24" s="61"/>
      <c r="I24" s="14"/>
      <c r="J24" s="73"/>
      <c r="K24" s="74"/>
      <c r="L24" s="73"/>
      <c r="M24" s="83"/>
      <c r="N24" s="83"/>
      <c r="O24" s="74"/>
      <c r="P24" s="29"/>
    </row>
    <row r="25" spans="2:16" ht="9.75" customHeight="1" x14ac:dyDescent="0.2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LABS-ESPE</cp:lastModifiedBy>
  <cp:revision/>
  <dcterms:created xsi:type="dcterms:W3CDTF">2019-10-21T15:37:14Z</dcterms:created>
  <dcterms:modified xsi:type="dcterms:W3CDTF">2026-07-08T14:23:48Z</dcterms:modified>
  <cp:category/>
  <cp:contentStatus/>
</cp:coreProperties>
</file>