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S-ESPE\Documents\"/>
    </mc:Choice>
  </mc:AlternateContent>
  <xr:revisionPtr revIDLastSave="0" documentId="13_ncr:1_{6AB18E94-3317-4BE7-8FEA-E9477A3206CE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<sst xmlns="http://schemas.openxmlformats.org/spreadsheetml/2006/main" count="72" uniqueCount="57">
  <si>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</si>
  <si>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</si>
  <si>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</si>
  <si>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</si>
  <si>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</si>
  <si>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</si>
  <si>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</si>
  <si>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</si>
  <si>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</si>
  <si>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</si>
  <si>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</si>
  <si>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</si>
  <si>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</si>
  <si>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</si>
  <si>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</si>
  <si>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</si>
  <si>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</si>
  <si>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</si>
  <si>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</si>
  <si>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</si>
  <si>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</si>
  <si>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</si>
  <si>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</si>
  <si>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</si>
  <si>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</si>
  <si>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</si>
  <si>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</si>
  <si>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</si>
  <si>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</si>
  <si>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</si>
  <si>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</si>
  <si>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</si>
  <si>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Ingreso de datos seguros de personas deseadas </t>
  </si>
  <si>
    <t>Jhosue Angamarca</t>
  </si>
  <si>
    <t>REQ002</t>
  </si>
  <si>
    <t>Ingreso de personas no deseadas</t>
  </si>
  <si>
    <t xml:space="preserve">Evitar el ingreso de personas no autorizadas </t>
  </si>
  <si>
    <t xml:space="preserve">Para garantizar la  seguridad integral de los usuarios </t>
  </si>
  <si>
    <t>1. Mediante la lectura por sistema de digitos unicos (4 ULTIMOS DE LA CEDULA)</t>
  </si>
  <si>
    <t>Daniel Iza</t>
  </si>
  <si>
    <t xml:space="preserve"> Ingreso seguro</t>
  </si>
  <si>
    <t>REQ003</t>
  </si>
  <si>
    <t>Mediante la creacion de un menu anidado BIENVENIDOS AL SITEMA D.J.F INGRESE SU PIN…</t>
  </si>
  <si>
    <t xml:space="preserve">3 intentos por usuario </t>
  </si>
  <si>
    <t>Brandon Pastuña</t>
  </si>
  <si>
    <t xml:space="preserve">1. programando el arduino mediante la guia del codeblocks </t>
  </si>
  <si>
    <t xml:space="preserve">Francisco Comina </t>
  </si>
  <si>
    <t>Mediante la lectrura del pin ingresado por el teclado.</t>
  </si>
  <si>
    <t>Funcionalidad compatible del sistema.</t>
  </si>
  <si>
    <t xml:space="preserve">Ingreso  de PIN seguro a la vivienda </t>
  </si>
  <si>
    <t xml:space="preserve">1.  Creacion de registros de ususarios  de las personas autorizadas </t>
  </si>
  <si>
    <t xml:space="preserve">Funcionamiento del sistema en arduino </t>
  </si>
  <si>
    <t xml:space="preserve">Resgistro de datos de los residentes de la vivienda </t>
  </si>
  <si>
    <t xml:space="preserve">Lectura correcta de la información ingresado por teclado </t>
  </si>
  <si>
    <t>Para brindar seguridad dentro de la vivienda.</t>
  </si>
  <si>
    <t xml:space="preserve">Para el correcto analisis de la informacion de las personas autorizadas  </t>
  </si>
  <si>
    <t xml:space="preserve">Con el analisis de los datos ingresados previamente, se realiza una evaluacion de usuario registrado y no registrado.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</si>
</sst>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0" fillId="3" borderId="7" xfId="0" applyFill="1" applyBorder="1"/>
    <xf numFmtId="0" fontId="11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9" xfId="0" applyFill="1" applyBorder="1"/>
    <xf numFmtId="0" fontId="6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 wrapText="1"/>
    </xf>
    <xf numFmtId="14" fontId="15" fillId="0" borderId="25" xfId="0" applyNumberFormat="1" applyFont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center" vertical="center" wrapText="1"/>
    </xf>
    <xf numFmtId="14" fontId="15" fillId="0" borderId="26" xfId="0" applyNumberFormat="1" applyFont="1" applyBorder="1" applyAlignment="1">
      <alignment horizontal="center" vertical="center" wrapText="1"/>
    </xf>
    <xf numFmtId="0" fontId="18" fillId="0" borderId="0" xfId="0" applyFont="1"/>
    <xf numFmtId="0" fontId="4" fillId="0" borderId="29" xfId="0" applyFont="1" applyBorder="1" applyAlignment="1">
      <alignment horizontal="center" vertical="center"/>
    </xf>
    <xf numFmtId="0" fontId="0" fillId="0" borderId="7" xfId="0" applyBorder="1"/>
    <xf numFmtId="0" fontId="16" fillId="0" borderId="0" xfId="0" applyFont="1" applyAlignment="1">
      <alignment horizontal="center" vertical="center"/>
    </xf>
    <xf numFmtId="0" fontId="17" fillId="0" borderId="0" xfId="0" applyFont="1" applyAlignment="1"/>
    <xf numFmtId="0" fontId="9" fillId="6" borderId="8" xfId="0" applyFont="1" applyFill="1" applyBorder="1" applyAlignment="1">
      <alignment horizontal="center" vertical="center"/>
    </xf>
    <xf numFmtId="0" fontId="8" fillId="0" borderId="12" xfId="0" applyFont="1" applyBorder="1" applyAlignment="1"/>
    <xf numFmtId="0" fontId="8" fillId="0" borderId="15" xfId="0" applyFont="1" applyBorder="1" applyAlignment="1"/>
    <xf numFmtId="0" fontId="12" fillId="7" borderId="9" xfId="0" applyFont="1" applyFill="1" applyBorder="1" applyAlignment="1">
      <alignment horizontal="center" vertical="center"/>
    </xf>
    <xf numFmtId="0" fontId="8" fillId="0" borderId="10" xfId="0" applyFont="1" applyBorder="1" applyAlignment="1"/>
    <xf numFmtId="0" fontId="8" fillId="0" borderId="22" xfId="0" applyFont="1" applyBorder="1" applyAlignment="1"/>
    <xf numFmtId="0" fontId="8" fillId="0" borderId="24" xfId="0" applyFont="1" applyBorder="1" applyAlignment="1"/>
    <xf numFmtId="0" fontId="9" fillId="4" borderId="9" xfId="0" applyFont="1" applyFill="1" applyBorder="1" applyAlignment="1">
      <alignment horizontal="center" vertical="center"/>
    </xf>
    <xf numFmtId="0" fontId="8" fillId="0" borderId="13" xfId="0" applyFont="1" applyBorder="1" applyAlignment="1"/>
    <xf numFmtId="0" fontId="8" fillId="0" borderId="14" xfId="0" applyFont="1" applyBorder="1" applyAlignment="1"/>
    <xf numFmtId="0" fontId="1" fillId="5" borderId="9" xfId="0" applyFont="1" applyFill="1" applyBorder="1" applyAlignment="1">
      <alignment horizontal="center" vertical="center"/>
    </xf>
    <xf numFmtId="0" fontId="8" fillId="0" borderId="11" xfId="0" applyFont="1" applyBorder="1" applyAlignment="1"/>
    <xf numFmtId="0" fontId="0" fillId="0" borderId="0" xfId="0" applyAlignment="1"/>
    <xf numFmtId="0" fontId="8" fillId="0" borderId="23" xfId="0" applyFont="1" applyBorder="1" applyAlignment="1"/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/>
    <xf numFmtId="0" fontId="8" fillId="0" borderId="5" xfId="0" applyFont="1" applyBorder="1" applyAlignment="1"/>
    <xf numFmtId="0" fontId="9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/>
    </xf>
    <xf numFmtId="0" fontId="8" fillId="0" borderId="17" xfId="0" applyFont="1" applyBorder="1" applyAlignment="1"/>
    <xf numFmtId="0" fontId="8" fillId="0" borderId="18" xfId="0" applyFont="1" applyBorder="1" applyAlignment="1"/>
    <xf numFmtId="0" fontId="8" fillId="0" borderId="19" xfId="0" applyFont="1" applyBorder="1" applyAlignment="1"/>
    <xf numFmtId="0" fontId="8" fillId="0" borderId="20" xfId="0" applyFont="1" applyBorder="1" applyAlignment="1"/>
    <xf numFmtId="0" fontId="8" fillId="0" borderId="21" xfId="0" applyFont="1" applyBorder="1" applyAlignment="1"/>
    <xf numFmtId="0" fontId="8" fillId="0" borderId="11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4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23" xfId="0" applyFont="1" applyBorder="1" applyAlignment="1">
      <alignment wrapText="1"/>
    </xf>
    <xf numFmtId="0" fontId="8" fillId="0" borderId="24" xfId="0" applyFont="1" applyBorder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B5" zoomScale="85" zoomScaleNormal="85" workbookViewId="0">
      <selection activeCell="M8" sqref="M8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37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">
      <c r="B3" s="49" t="s">
        <v>0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26" ht="5.25" customHeight="1" x14ac:dyDescent="0.25">
      <c r="H4" s="4"/>
      <c r="I4" s="1"/>
      <c r="J4" s="1"/>
      <c r="K4" s="2"/>
      <c r="L4" s="3"/>
    </row>
    <row r="5" spans="1:26" ht="78.75" customHeight="1" x14ac:dyDescent="0.2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103.5" customHeight="1" x14ac:dyDescent="0.2">
      <c r="B6" s="32" t="s">
        <v>15</v>
      </c>
      <c r="C6" s="30" t="s">
        <v>32</v>
      </c>
      <c r="D6" s="30" t="s">
        <v>52</v>
      </c>
      <c r="E6" s="30" t="s">
        <v>54</v>
      </c>
      <c r="F6" s="34" t="s">
        <v>44</v>
      </c>
      <c r="G6" s="30" t="s">
        <v>50</v>
      </c>
      <c r="H6" s="30" t="s">
        <v>33</v>
      </c>
      <c r="I6" s="30">
        <v>1</v>
      </c>
      <c r="J6" s="44">
        <v>46160</v>
      </c>
      <c r="K6" s="30" t="s">
        <v>18</v>
      </c>
      <c r="L6" s="30" t="s">
        <v>17</v>
      </c>
      <c r="M6" s="30" t="s">
        <v>42</v>
      </c>
      <c r="N6" s="30" t="s">
        <v>43</v>
      </c>
      <c r="O6" s="30" t="s">
        <v>49</v>
      </c>
    </row>
    <row r="7" spans="1:26" ht="99.75" customHeight="1" x14ac:dyDescent="0.2">
      <c r="A7" s="7"/>
      <c r="B7" s="32" t="s">
        <v>34</v>
      </c>
      <c r="C7" s="30" t="s">
        <v>35</v>
      </c>
      <c r="D7" s="30" t="s">
        <v>36</v>
      </c>
      <c r="E7" s="30" t="s">
        <v>37</v>
      </c>
      <c r="F7" s="34" t="s">
        <v>44</v>
      </c>
      <c r="G7" s="30" t="s">
        <v>38</v>
      </c>
      <c r="H7" s="35" t="s">
        <v>39</v>
      </c>
      <c r="I7" s="30">
        <v>1</v>
      </c>
      <c r="J7" s="31">
        <v>46160</v>
      </c>
      <c r="K7" s="36" t="s">
        <v>18</v>
      </c>
      <c r="L7" s="38" t="s">
        <v>17</v>
      </c>
      <c r="M7" s="37" t="s">
        <v>56</v>
      </c>
      <c r="N7" s="30" t="s">
        <v>43</v>
      </c>
      <c r="O7" s="30" t="s">
        <v>40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78" customHeight="1" x14ac:dyDescent="0.2">
      <c r="B8" s="32" t="s">
        <v>41</v>
      </c>
      <c r="C8" s="33" t="s">
        <v>51</v>
      </c>
      <c r="D8" s="33" t="s">
        <v>53</v>
      </c>
      <c r="E8" s="33" t="s">
        <v>55</v>
      </c>
      <c r="F8" s="34" t="s">
        <v>44</v>
      </c>
      <c r="G8" s="33" t="s">
        <v>45</v>
      </c>
      <c r="H8" s="33" t="s">
        <v>46</v>
      </c>
      <c r="I8" s="33">
        <v>1</v>
      </c>
      <c r="J8" s="45">
        <v>46160</v>
      </c>
      <c r="K8" s="30" t="s">
        <v>18</v>
      </c>
      <c r="L8" s="30" t="s">
        <v>17</v>
      </c>
      <c r="M8" s="33" t="s">
        <v>47</v>
      </c>
      <c r="N8" s="30" t="s">
        <v>43</v>
      </c>
      <c r="O8" s="33" t="s">
        <v>48</v>
      </c>
    </row>
    <row r="9" spans="1:26" ht="78" customHeight="1" x14ac:dyDescent="0.2">
      <c r="B9" s="32"/>
      <c r="C9" s="33"/>
      <c r="D9" s="33"/>
      <c r="E9" s="33"/>
      <c r="F9" s="39"/>
      <c r="G9" s="33"/>
      <c r="H9" s="33"/>
      <c r="I9" s="33"/>
      <c r="J9" s="43"/>
      <c r="K9" s="30"/>
      <c r="L9" s="30"/>
      <c r="M9" s="33"/>
      <c r="N9" s="33"/>
      <c r="O9" s="33"/>
    </row>
    <row r="10" spans="1:26" ht="66" customHeight="1" x14ac:dyDescent="0.2">
      <c r="B10" s="32"/>
      <c r="C10" s="33"/>
      <c r="D10" s="33"/>
      <c r="E10" s="33"/>
      <c r="F10" s="34"/>
      <c r="G10" s="33"/>
      <c r="H10" s="33"/>
      <c r="I10" s="33"/>
      <c r="J10" s="45"/>
      <c r="K10" s="30"/>
      <c r="L10" s="33"/>
      <c r="M10" s="33"/>
      <c r="N10" s="33"/>
      <c r="O10" s="33"/>
      <c r="P10" s="46"/>
    </row>
    <row r="11" spans="1:26" ht="99.75" customHeight="1" x14ac:dyDescent="0.2">
      <c r="B11" s="47"/>
      <c r="C11" s="38"/>
      <c r="D11" s="38"/>
      <c r="E11" s="38"/>
      <c r="F11" s="38"/>
      <c r="G11" s="38"/>
      <c r="H11" s="38"/>
      <c r="I11" s="38"/>
      <c r="J11" s="42"/>
      <c r="K11" s="30"/>
      <c r="L11" s="38"/>
      <c r="M11" s="38"/>
      <c r="N11" s="38"/>
      <c r="O11" s="38"/>
    </row>
    <row r="12" spans="1:26" ht="72" customHeight="1" x14ac:dyDescent="0.2">
      <c r="B12" s="48"/>
    </row>
    <row r="13" spans="1:26" ht="65.25" customHeight="1" x14ac:dyDescent="0.2">
      <c r="I13" s="1"/>
      <c r="J13" s="1"/>
      <c r="K13" s="9"/>
      <c r="L13" s="3"/>
    </row>
    <row r="14" spans="1:26" ht="64.5" customHeight="1" x14ac:dyDescent="0.2">
      <c r="I14" s="1"/>
      <c r="J14" s="1"/>
      <c r="K14" s="9"/>
      <c r="L14" s="3"/>
    </row>
    <row r="15" spans="1:26" ht="39.75" customHeight="1" x14ac:dyDescent="0.25">
      <c r="I15" s="1"/>
      <c r="J15" s="1"/>
      <c r="K15" s="2"/>
      <c r="L15" s="3"/>
    </row>
    <row r="16" spans="1:26" ht="39.75" customHeight="1" x14ac:dyDescent="0.25">
      <c r="I16" s="1"/>
      <c r="J16" s="1"/>
      <c r="K16" s="2"/>
      <c r="L16" s="3"/>
    </row>
    <row r="17" spans="9:13" ht="39.75" customHeight="1" x14ac:dyDescent="0.25">
      <c r="I17" s="1"/>
      <c r="J17" s="1"/>
      <c r="K17" s="2"/>
      <c r="L17" s="3"/>
    </row>
    <row r="18" spans="9:13" ht="19.5" customHeight="1" x14ac:dyDescent="0.25">
      <c r="I18" s="1"/>
      <c r="J18" s="1"/>
      <c r="K18" s="40" t="s">
        <v>18</v>
      </c>
      <c r="L18" s="41" t="s">
        <v>19</v>
      </c>
      <c r="M18" s="4"/>
    </row>
    <row r="19" spans="9:13" ht="19.5" customHeight="1" x14ac:dyDescent="0.25">
      <c r="I19" s="1"/>
      <c r="J19" s="1"/>
      <c r="K19" s="40" t="s">
        <v>16</v>
      </c>
      <c r="L19" s="41" t="s">
        <v>20</v>
      </c>
      <c r="M19" s="4"/>
    </row>
    <row r="20" spans="9:13" ht="19.5" customHeight="1" x14ac:dyDescent="0.25">
      <c r="I20" s="1"/>
      <c r="J20" s="1"/>
      <c r="K20" s="40" t="s">
        <v>21</v>
      </c>
      <c r="L20" s="41" t="s">
        <v>17</v>
      </c>
      <c r="M20" s="4"/>
    </row>
    <row r="21" spans="9:13" ht="19.5" customHeight="1" x14ac:dyDescent="0.25">
      <c r="I21" s="1"/>
      <c r="J21" s="1"/>
      <c r="K21" s="40"/>
      <c r="L21" s="41" t="s">
        <v>22</v>
      </c>
      <c r="M21" s="4"/>
    </row>
    <row r="22" spans="9:13" ht="19.5" customHeight="1" x14ac:dyDescent="0.25">
      <c r="I22" s="1"/>
      <c r="J22" s="1"/>
      <c r="K22" s="2"/>
      <c r="L22" s="3"/>
    </row>
    <row r="23" spans="9:13" ht="19.5" customHeight="1" x14ac:dyDescent="0.25">
      <c r="I23" s="1"/>
      <c r="J23" s="1"/>
      <c r="K23" s="2"/>
      <c r="L23" s="3"/>
    </row>
    <row r="24" spans="9:13" ht="19.5" customHeight="1" x14ac:dyDescent="0.25">
      <c r="I24" s="1"/>
      <c r="J24" s="1"/>
      <c r="K24" s="2"/>
      <c r="L24" s="3"/>
    </row>
    <row r="25" spans="9:13" ht="19.5" customHeight="1" x14ac:dyDescent="0.25">
      <c r="I25" s="1"/>
      <c r="J25" s="1"/>
      <c r="K25" s="2"/>
      <c r="L25" s="3"/>
    </row>
    <row r="26" spans="9:13" ht="19.5" customHeight="1" x14ac:dyDescent="0.25">
      <c r="I26" s="1"/>
      <c r="J26" s="1"/>
      <c r="K26" s="2"/>
      <c r="L26" s="3"/>
    </row>
    <row r="27" spans="9:13" ht="19.5" customHeight="1" x14ac:dyDescent="0.25">
      <c r="I27" s="1"/>
      <c r="J27" s="1"/>
      <c r="K27" s="2"/>
      <c r="L27" s="3"/>
    </row>
    <row r="28" spans="9:13" ht="19.5" customHeight="1" x14ac:dyDescent="0.25">
      <c r="I28" s="1"/>
      <c r="J28" s="1"/>
      <c r="K28" s="2"/>
      <c r="L28" s="3"/>
    </row>
    <row r="29" spans="9:13" ht="19.5" customHeight="1" x14ac:dyDescent="0.25">
      <c r="I29" s="1"/>
      <c r="J29" s="1"/>
      <c r="K29" s="2"/>
      <c r="L29" s="3"/>
    </row>
    <row r="30" spans="9:13" ht="19.5" customHeight="1" x14ac:dyDescent="0.25">
      <c r="I30" s="1"/>
      <c r="J30" s="1"/>
      <c r="K30" s="2"/>
      <c r="L30" s="3"/>
    </row>
    <row r="31" spans="9:13" ht="19.5" customHeight="1" x14ac:dyDescent="0.25">
      <c r="I31" s="1"/>
      <c r="J31" s="1"/>
      <c r="K31" s="2"/>
      <c r="L31" s="3"/>
    </row>
    <row r="32" spans="9:13" ht="19.5" customHeight="1" x14ac:dyDescent="0.25">
      <c r="I32" s="1"/>
      <c r="J32" s="1"/>
      <c r="K32" s="2"/>
      <c r="L32" s="3"/>
    </row>
    <row r="33" spans="9:12" ht="15.7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">
      <c r="I988" s="3"/>
      <c r="J988" s="3"/>
      <c r="K988" s="8"/>
      <c r="L988" s="3"/>
    </row>
    <row r="989" spans="9:12" ht="15.75" customHeight="1" x14ac:dyDescent="0.2">
      <c r="I989" s="3"/>
      <c r="J989" s="3"/>
      <c r="K989" s="8"/>
      <c r="L989" s="3"/>
    </row>
    <row r="990" spans="9:12" ht="15.75" customHeight="1" x14ac:dyDescent="0.2"/>
    <row r="991" spans="9:12" ht="15.75" customHeight="1" x14ac:dyDescent="0.2"/>
    <row r="992" spans="9:1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B3:O3"/>
  </mergeCells>
  <phoneticPr fontId="13" type="noConversion"/>
  <dataValidations count="2">
    <dataValidation type="list" allowBlank="1" showErrorMessage="1" sqref="L6:L11" xr:uid="{00000000-0002-0000-0000-000000000000}">
      <formula1>$L$18:$L$21</formula1>
    </dataValidation>
    <dataValidation type="list" allowBlank="1" showErrorMessage="1" sqref="K6:K11" xr:uid="{00000000-0002-0000-0000-000001000000}">
      <formula1>$K$18:$K$20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7" zoomScaleNormal="10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10"/>
      <c r="D4" s="10"/>
      <c r="E4" s="10"/>
      <c r="F4" s="4"/>
    </row>
    <row r="5" spans="2:16" hidden="1" x14ac:dyDescent="0.25">
      <c r="C5" s="10"/>
      <c r="D5" s="10"/>
      <c r="E5" s="10"/>
      <c r="F5" s="4"/>
    </row>
    <row r="6" spans="2:16" ht="39.75" customHeight="1" x14ac:dyDescent="0.2">
      <c r="B6" s="65" t="s">
        <v>23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</row>
    <row r="7" spans="2:16" ht="9.75" customHeight="1" x14ac:dyDescent="0.2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6" ht="9.75" customHeight="1" x14ac:dyDescent="0.25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ht="30" customHeight="1" x14ac:dyDescent="0.2">
      <c r="B9" s="28"/>
      <c r="C9" s="12" t="s">
        <v>1</v>
      </c>
      <c r="D9" s="13"/>
      <c r="E9" s="68" t="s">
        <v>24</v>
      </c>
      <c r="F9" s="67"/>
      <c r="G9" s="13"/>
      <c r="H9" s="68" t="s">
        <v>11</v>
      </c>
      <c r="I9" s="67"/>
      <c r="J9" s="14"/>
      <c r="K9" s="14"/>
      <c r="L9" s="14"/>
      <c r="M9" s="14"/>
      <c r="N9" s="14"/>
      <c r="O9" s="14"/>
      <c r="P9" s="29"/>
    </row>
    <row r="10" spans="2:16" ht="30" customHeight="1" x14ac:dyDescent="0.2">
      <c r="B10" s="28"/>
      <c r="C10" s="15" t="s">
        <v>41</v>
      </c>
      <c r="D10" s="16"/>
      <c r="E10" s="69" t="str">
        <f>VLOOKUP(C10,'Formato descripción HU'!B6:O14,5,0)</f>
        <v>Brandon Pastuña</v>
      </c>
      <c r="F10" s="67"/>
      <c r="G10" s="17"/>
      <c r="H10" s="69" t="str">
        <f>VLOOKUP(C10,'Formato descripción HU'!B6:O14,11,0)</f>
        <v>Terminado</v>
      </c>
      <c r="I10" s="67"/>
      <c r="J10" s="17"/>
      <c r="K10" s="14"/>
      <c r="L10" s="14"/>
      <c r="M10" s="14"/>
      <c r="N10" s="14"/>
      <c r="O10" s="14"/>
      <c r="P10" s="29"/>
    </row>
    <row r="11" spans="2:16" ht="9.75" customHeight="1" x14ac:dyDescent="0.2">
      <c r="B11" s="28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4"/>
      <c r="N11" s="19"/>
      <c r="O11" s="19"/>
      <c r="P11" s="29"/>
    </row>
    <row r="12" spans="2:16" ht="30" customHeight="1" x14ac:dyDescent="0.2">
      <c r="B12" s="28"/>
      <c r="C12" s="12" t="s">
        <v>25</v>
      </c>
      <c r="D12" s="16"/>
      <c r="E12" s="68" t="s">
        <v>10</v>
      </c>
      <c r="F12" s="67"/>
      <c r="G12" s="17"/>
      <c r="H12" s="68" t="s">
        <v>26</v>
      </c>
      <c r="I12" s="67"/>
      <c r="J12" s="17"/>
      <c r="K12" s="19"/>
      <c r="L12" s="19"/>
      <c r="M12" s="14"/>
      <c r="N12" s="19"/>
      <c r="O12" s="19"/>
      <c r="P12" s="29"/>
    </row>
    <row r="13" spans="2:16" ht="30" customHeight="1" x14ac:dyDescent="0.2">
      <c r="B13" s="28"/>
      <c r="C13" s="15">
        <f>VLOOKUP('Historia de Usuario'!C10,'Formato descripción HU'!B6:O14,8,0)</f>
        <v>1</v>
      </c>
      <c r="D13" s="16"/>
      <c r="E13" s="69" t="str">
        <f>VLOOKUP(C10,'Formato descripción HU'!B6:O14,10,0)</f>
        <v>Alta</v>
      </c>
      <c r="F13" s="67"/>
      <c r="G13" s="17"/>
      <c r="H13" s="69" t="str">
        <f>VLOOKUP(C10,'Formato descripción HU'!B6:O14,7,0)</f>
        <v xml:space="preserve">Francisco Comina </v>
      </c>
      <c r="I13" s="67"/>
      <c r="J13" s="17"/>
      <c r="K13" s="19"/>
      <c r="L13" s="19"/>
      <c r="M13" s="14"/>
      <c r="N13" s="19"/>
      <c r="O13" s="19"/>
      <c r="P13" s="29"/>
    </row>
    <row r="14" spans="2:16" ht="9.75" customHeight="1" x14ac:dyDescent="0.2">
      <c r="B14" s="28"/>
      <c r="C14" s="14"/>
      <c r="D14" s="16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29"/>
    </row>
    <row r="15" spans="2:16" ht="19.5" customHeight="1" x14ac:dyDescent="0.2">
      <c r="B15" s="28"/>
      <c r="C15" s="51" t="s">
        <v>27</v>
      </c>
      <c r="D15" s="70" t="str">
        <f>VLOOKUP(C10,'Formato descripción HU'!B6:O14,3,0)</f>
        <v xml:space="preserve">Lectura correcta de la información ingresado por teclado </v>
      </c>
      <c r="E15" s="55"/>
      <c r="F15" s="14"/>
      <c r="G15" s="51" t="s">
        <v>28</v>
      </c>
      <c r="H15" s="70" t="str">
        <f>VLOOKUP(C10,'Formato descripción HU'!B6:O14,4,0)</f>
        <v xml:space="preserve">Para el correcto analisis de la informacion de las personas autorizadas  </v>
      </c>
      <c r="I15" s="62"/>
      <c r="J15" s="55"/>
      <c r="K15" s="14"/>
      <c r="L15" s="51" t="s">
        <v>29</v>
      </c>
      <c r="M15" s="70" t="str">
        <f>VLOOKUP(C10,'Formato descripción HU'!B6:O14,6,0)</f>
        <v xml:space="preserve">1. programando el arduino mediante la guia del codeblocks </v>
      </c>
      <c r="N15" s="77"/>
      <c r="O15" s="78"/>
      <c r="P15" s="29"/>
    </row>
    <row r="16" spans="2:16" ht="19.5" customHeight="1" x14ac:dyDescent="0.2">
      <c r="B16" s="28"/>
      <c r="C16" s="52"/>
      <c r="D16" s="59"/>
      <c r="E16" s="60"/>
      <c r="F16" s="14"/>
      <c r="G16" s="52"/>
      <c r="H16" s="59"/>
      <c r="I16" s="63"/>
      <c r="J16" s="60"/>
      <c r="K16" s="14"/>
      <c r="L16" s="52"/>
      <c r="M16" s="79"/>
      <c r="N16" s="80"/>
      <c r="O16" s="81"/>
      <c r="P16" s="29"/>
    </row>
    <row r="17" spans="2:16" ht="19.5" customHeight="1" x14ac:dyDescent="0.2">
      <c r="B17" s="28"/>
      <c r="C17" s="53"/>
      <c r="D17" s="56"/>
      <c r="E17" s="57"/>
      <c r="F17" s="14"/>
      <c r="G17" s="53"/>
      <c r="H17" s="56"/>
      <c r="I17" s="64"/>
      <c r="J17" s="57"/>
      <c r="K17" s="14"/>
      <c r="L17" s="53"/>
      <c r="M17" s="82"/>
      <c r="N17" s="83"/>
      <c r="O17" s="84"/>
      <c r="P17" s="29"/>
    </row>
    <row r="18" spans="2:16" ht="9.75" customHeight="1" x14ac:dyDescent="0.2">
      <c r="B18" s="28"/>
      <c r="C18" s="14"/>
      <c r="D18" s="14"/>
      <c r="E18" s="14"/>
      <c r="F18" s="14"/>
      <c r="G18" s="17"/>
      <c r="H18" s="17"/>
      <c r="I18" s="17"/>
      <c r="J18" s="14"/>
      <c r="K18" s="14"/>
      <c r="L18" s="14"/>
      <c r="M18" s="14"/>
      <c r="N18" s="14"/>
      <c r="O18" s="14"/>
      <c r="P18" s="29"/>
    </row>
    <row r="19" spans="2:16" ht="19.5" customHeight="1" x14ac:dyDescent="0.2">
      <c r="B19" s="28"/>
      <c r="C19" s="54" t="s">
        <v>30</v>
      </c>
      <c r="D19" s="55"/>
      <c r="E19" s="71" t="str">
        <f>VLOOKUP(C10,'Formato descripción HU'!B6:O14,14,0)</f>
        <v>Funcionalidad compatible del sistema.</v>
      </c>
      <c r="F19" s="72"/>
      <c r="G19" s="72"/>
      <c r="H19" s="72"/>
      <c r="I19" s="72"/>
      <c r="J19" s="72"/>
      <c r="K19" s="72"/>
      <c r="L19" s="72"/>
      <c r="M19" s="72"/>
      <c r="N19" s="72"/>
      <c r="O19" s="73"/>
      <c r="P19" s="29"/>
    </row>
    <row r="20" spans="2:16" ht="19.5" customHeight="1" x14ac:dyDescent="0.2">
      <c r="B20" s="28"/>
      <c r="C20" s="56"/>
      <c r="D20" s="57"/>
      <c r="E20" s="74"/>
      <c r="F20" s="75"/>
      <c r="G20" s="75"/>
      <c r="H20" s="75"/>
      <c r="I20" s="75"/>
      <c r="J20" s="75"/>
      <c r="K20" s="75"/>
      <c r="L20" s="75"/>
      <c r="M20" s="75"/>
      <c r="N20" s="75"/>
      <c r="O20" s="76"/>
      <c r="P20" s="29"/>
    </row>
    <row r="21" spans="2:16" ht="9.75" customHeight="1" x14ac:dyDescent="0.2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9"/>
    </row>
    <row r="22" spans="2:16" ht="19.5" customHeight="1" x14ac:dyDescent="0.2">
      <c r="B22" s="28"/>
      <c r="C22" s="58" t="s">
        <v>31</v>
      </c>
      <c r="D22" s="55"/>
      <c r="E22" s="70" t="str">
        <f>VLOOKUP(C10,'Formato descripción HU'!B6:O14,12,0)</f>
        <v>Mediante la lectrura del pin ingresado por el teclado.</v>
      </c>
      <c r="F22" s="77"/>
      <c r="G22" s="77"/>
      <c r="H22" s="78"/>
      <c r="I22" s="14"/>
      <c r="J22" s="58" t="s">
        <v>13</v>
      </c>
      <c r="K22" s="55"/>
      <c r="L22" s="61" t="str">
        <f>VLOOKUP(C10,'Formato descripción HU'!B6:O14,13,0)</f>
        <v xml:space="preserve">3 intentos por usuario </v>
      </c>
      <c r="M22" s="62"/>
      <c r="N22" s="62"/>
      <c r="O22" s="55"/>
      <c r="P22" s="29"/>
    </row>
    <row r="23" spans="2:16" ht="19.5" customHeight="1" x14ac:dyDescent="0.2">
      <c r="B23" s="28"/>
      <c r="C23" s="59"/>
      <c r="D23" s="60"/>
      <c r="E23" s="79"/>
      <c r="F23" s="80"/>
      <c r="G23" s="80"/>
      <c r="H23" s="81"/>
      <c r="I23" s="14"/>
      <c r="J23" s="59"/>
      <c r="K23" s="60"/>
      <c r="L23" s="59"/>
      <c r="M23" s="63"/>
      <c r="N23" s="63"/>
      <c r="O23" s="60"/>
      <c r="P23" s="29"/>
    </row>
    <row r="24" spans="2:16" ht="19.5" customHeight="1" x14ac:dyDescent="0.2">
      <c r="B24" s="28"/>
      <c r="C24" s="56"/>
      <c r="D24" s="57"/>
      <c r="E24" s="82"/>
      <c r="F24" s="83"/>
      <c r="G24" s="83"/>
      <c r="H24" s="84"/>
      <c r="I24" s="14"/>
      <c r="J24" s="56"/>
      <c r="K24" s="57"/>
      <c r="L24" s="56"/>
      <c r="M24" s="64"/>
      <c r="N24" s="64"/>
      <c r="O24" s="57"/>
      <c r="P24" s="29"/>
    </row>
    <row r="25" spans="2:16" ht="9.75" customHeight="1" x14ac:dyDescent="0.2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LABS-ESPE</cp:lastModifiedBy>
  <cp:revision/>
  <dcterms:created xsi:type="dcterms:W3CDTF">2019-10-21T15:37:14Z</dcterms:created>
  <dcterms:modified xsi:type="dcterms:W3CDTF">2026-05-18T17:51:15Z</dcterms:modified>
  <cp:category/>
  <cp:contentStatus/>
</cp:coreProperties>
</file>